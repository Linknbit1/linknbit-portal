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By Developer" sheetId="3" state="visible" r:id="rId3"/>
    <sheet name="Data" sheetId="4" state="visible" r:id="rId4"/>
    <sheet name="Development" sheetId="5" state="visible" r:id="rId5"/>
    <sheet name="Design" sheetId="6" state="visible" r:id="rId6"/>
    <sheet name="Marketing" sheetId="7" state="visible" r:id="rId7"/>
    <sheet name="Other Services" sheetId="8" state="visible" r:id="rId8"/>
    <sheet name="Unlinked Standup" sheetId="9" state="visible" r:id="rId9"/>
  </sheets>
  <definedNames>
    <definedName name="_xlnm._FilterDatabase" localSheetId="3" hidden="1">'Data'!$A$1:$M$320</definedName>
    <definedName name="_xlnm._FilterDatabase" localSheetId="4" hidden="1">'Development'!$A$3:$K$156</definedName>
    <definedName name="_xlnm._FilterDatabase" localSheetId="5" hidden="1">'Design'!$A$3:$K$78</definedName>
    <definedName name="_xlnm._FilterDatabase" localSheetId="6" hidden="1">'Marketing'!$A$3:$K$37</definedName>
    <definedName name="_xlnm._FilterDatabase" localSheetId="7" hidden="1">'Other Services'!$A$3:$K$22</definedName>
    <definedName name="_xlnm._FilterDatabase" localSheetId="8" hidden="1">'Unlinked Standup'!$A$3:$K$41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&quot;h&quot; mm&quot;m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1F3864"/>
      <sz val="13"/>
    </font>
    <font>
      <name val="Arial"/>
      <b val="1"/>
      <sz val="9"/>
    </font>
    <font>
      <name val="Arial"/>
      <b val="1"/>
      <sz val="10"/>
    </font>
    <font>
      <name val="Arial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9" fillId="4" borderId="1" pivotButton="0" quotePrefix="0" xfId="0"/>
    <xf numFmtId="164" fontId="9" fillId="4" borderId="1" applyAlignment="1" pivotButton="0" quotePrefix="0" xfId="0">
      <alignment horizontal="right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top"/>
    </xf>
    <xf numFmtId="0" fontId="10" fillId="4" borderId="1" pivotButton="0" quotePrefix="0" xfId="0"/>
    <xf numFmtId="164" fontId="10" fillId="4" borderId="1" applyAlignment="1" pivotButton="0" quotePrefix="0" xfId="0">
      <alignment horizontal="right"/>
    </xf>
    <xf numFmtId="0" fontId="10" fillId="4" borderId="1" applyAlignment="1" pivotButton="0" quotePrefix="0" xfId="0">
      <alignment horizontal="right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Weekly hours by developer and task — 3 Aug to 17 Sep 2026</t>
        </is>
      </c>
    </row>
    <row r="3" ht="15" customHeight="1">
      <c r="A3" s="2" t="inlineStr"/>
      <c r="B3" s="3" t="inlineStr"/>
    </row>
    <row r="4" ht="30" customHeight="1">
      <c r="A4" s="2" t="inlineStr">
        <is>
          <t>What this is</t>
        </is>
      </c>
      <c r="B4" s="3" t="inlineStr">
        <is>
          <t>Every task each person logged time against, week by week, with hours from BOTH sources side by side so you can judge which is right.</t>
        </is>
      </c>
    </row>
    <row r="5" ht="15" customHeight="1">
      <c r="A5" s="2" t="inlineStr"/>
      <c r="B5" s="3" t="inlineStr"/>
    </row>
    <row r="6" ht="15" customHeight="1">
      <c r="A6" s="2" t="inlineStr">
        <is>
          <t>The two sources</t>
        </is>
      </c>
      <c r="B6" s="3" t="inlineStr"/>
    </row>
    <row r="7" ht="15" customHeight="1">
      <c r="A7" s="4" t="inlineStr">
        <is>
          <t xml:space="preserve">  Timer h</t>
        </is>
      </c>
      <c r="B7" s="3" t="inlineStr">
        <is>
          <t>Started and stopped the in-app timer. Source = 'timer'.</t>
        </is>
      </c>
    </row>
    <row r="8" ht="30" customHeight="1">
      <c r="A8" s="4" t="inlineStr">
        <is>
          <t xml:space="preserve">  Manual h</t>
        </is>
      </c>
      <c r="B8" s="3" t="inlineStr">
        <is>
          <t>Typed into the timesheet by hand afterwards. Source = 'manual'. Counted in 'Timer total' but shown separately — it is a claim, not a measurement.</t>
        </is>
      </c>
    </row>
    <row r="9" ht="15" customHeight="1">
      <c r="A9" s="4" t="inlineStr">
        <is>
          <t xml:space="preserve">  Standup h</t>
        </is>
      </c>
      <c r="B9" s="3" t="inlineStr">
        <is>
          <t>'Minutes spent' typed into the daily standup form.</t>
        </is>
      </c>
    </row>
    <row r="10" ht="15" customHeight="1">
      <c r="A10" s="4" t="inlineStr">
        <is>
          <t xml:space="preserve">  Difference</t>
        </is>
      </c>
      <c r="B10" s="3" t="inlineStr">
        <is>
          <t>Standup minus Timer total. Positive = they claimed more in standup than the timer recorded.</t>
        </is>
      </c>
    </row>
    <row r="11" ht="15" customHeight="1">
      <c r="A11" s="2" t="inlineStr"/>
      <c r="B11" s="3" t="inlineStr"/>
    </row>
    <row r="12" ht="15" customHeight="1">
      <c r="A12" s="2" t="inlineStr">
        <is>
          <t>Totals</t>
        </is>
      </c>
      <c r="B12" s="3" t="inlineStr">
        <is>
          <t>Timed 939h 24m + Manually typed 103h 37m = 1,043h 01m.   Standup 1,468h 40m.   Gap = 425h 39m.</t>
        </is>
      </c>
    </row>
    <row r="13" ht="30" customHeight="1">
      <c r="A13" s="2" t="inlineStr">
        <is>
          <t>Time format</t>
        </is>
      </c>
      <c r="B13" s="3" t="inlineStr">
        <is>
          <t>Shown as hours and minutes, e.g. 41h 30m. These are real time values, so they still add up correctly. The Difference column is text with a + or - sign, because Excel cannot display a negative time.</t>
        </is>
      </c>
    </row>
    <row r="14" ht="15" customHeight="1">
      <c r="A14" s="2" t="inlineStr"/>
      <c r="B14" s="3" t="inlineStr"/>
    </row>
    <row r="15" ht="15" customHeight="1">
      <c r="A15" s="5" t="inlineStr">
        <is>
          <t>READ THIS BEFORE JUDGING</t>
        </is>
      </c>
      <c r="B15" s="3" t="inlineStr"/>
    </row>
    <row r="16" ht="30" customHeight="1">
      <c r="A16" s="4" t="inlineStr">
        <is>
          <t xml:space="preserve">  1. The gap is mostly unlinked standups</t>
        </is>
      </c>
      <c r="B16" s="3" t="inlineStr">
        <is>
          <t>506h 26m of standup time (34%) was typed as free text with no task attached, so it cannot be matched to any task. Excluding it, standup = 962h 14m against timer 1,043h 01m — the timer is actually HIGHER, by 80h 47m, on comparable work.</t>
        </is>
      </c>
    </row>
    <row r="17" ht="30" customHeight="1">
      <c r="A17" s="4" t="inlineStr">
        <is>
          <t xml:space="preserve">  2. Different populations</t>
        </is>
      </c>
      <c r="B17" s="3" t="inlineStr">
        <is>
          <t>14 people used the timer; only 10 submitted standups. A person missing from one source is not idle, just unrecorded there.</t>
        </is>
      </c>
    </row>
    <row r="18" ht="30" customHeight="1">
      <c r="A18" s="4" t="inlineStr">
        <is>
          <t xml:space="preserve">  3. Standups are a self-estimate</t>
        </is>
      </c>
      <c r="B18" s="3" t="inlineStr">
        <is>
          <t>Typed once a day from memory, usually rounded to the hour. Timers are measured but only if started.</t>
        </is>
      </c>
    </row>
    <row r="19" ht="15" customHeight="1">
      <c r="A19" s="4" t="inlineStr">
        <is>
          <t xml:space="preserve">  4. Five timers were left running</t>
        </is>
      </c>
      <c r="B19" s="3" t="inlineStr">
        <is>
          <t>Excluded — no end time, so no duration. Real timer hours are slightly higher than shown.</t>
        </is>
      </c>
    </row>
    <row r="20" ht="15" customHeight="1">
      <c r="A20" s="4" t="inlineStr">
        <is>
          <t xml:space="preserve">  5. Weeks are Mon–Sun, Asia/Karachi</t>
        </is>
      </c>
      <c r="B20" s="3" t="inlineStr">
        <is>
          <t>Week 1 starts Mon 3 Aug. 1–2 Aug were a weekend with no logged time, so nothing is missing.</t>
        </is>
      </c>
    </row>
    <row r="21" ht="15" customHeight="1">
      <c r="A21" s="2" t="inlineStr"/>
      <c r="B21" s="3" t="inlineStr"/>
    </row>
    <row r="22" ht="15" customHeight="1">
      <c r="A22" s="2" t="inlineStr">
        <is>
          <t>Sheets</t>
        </is>
      </c>
      <c r="B22" s="3" t="inlineStr"/>
    </row>
    <row r="23" ht="15" customHeight="1">
      <c r="A23" s="4" t="inlineStr">
        <is>
          <t xml:space="preserve">  Summary</t>
        </is>
      </c>
      <c r="B23" s="3" t="inlineStr">
        <is>
          <t>Service x week, both sources, with the gap.</t>
        </is>
      </c>
    </row>
    <row r="24" ht="15" customHeight="1">
      <c r="A24" s="4" t="inlineStr">
        <is>
          <t xml:space="preserve">  By Developer</t>
        </is>
      </c>
      <c r="B24" s="3" t="inlineStr">
        <is>
          <t>Each person, week by week, both sources.</t>
        </is>
      </c>
    </row>
    <row r="25" ht="15" customHeight="1">
      <c r="A25" s="4" t="inlineStr">
        <is>
          <t xml:space="preserve">  Development / Design / Marketing</t>
        </is>
      </c>
      <c r="B25" s="3" t="inlineStr">
        <is>
          <t>Task-level detail for that service only.</t>
        </is>
      </c>
    </row>
    <row r="26" ht="15" customHeight="1">
      <c r="A26" s="4" t="inlineStr">
        <is>
          <t xml:space="preserve">  Other Services</t>
        </is>
      </c>
      <c r="B26" s="3" t="inlineStr">
        <is>
          <t>SEO, Support and Content Creation.</t>
        </is>
      </c>
    </row>
    <row r="27" ht="15" customHeight="1">
      <c r="A27" s="4" t="inlineStr">
        <is>
          <t xml:space="preserve">  Unlinked Standup</t>
        </is>
      </c>
      <c r="B27" s="3" t="inlineStr">
        <is>
          <t>The 506.4h with no task — the main thing to fix.</t>
        </is>
      </c>
    </row>
    <row r="28" ht="15" customHeight="1">
      <c r="A28" s="4" t="inlineStr">
        <is>
          <t xml:space="preserve">  Data</t>
        </is>
      </c>
      <c r="B28" s="3" t="inlineStr">
        <is>
          <t>Every row, filterable. All summaries calculate from this sheet.</t>
        </is>
      </c>
    </row>
    <row r="29" ht="15" customHeight="1">
      <c r="A29" s="2" t="inlineStr"/>
      <c r="B29" s="3" t="inlineStr"/>
    </row>
    <row r="30" ht="30" customHeight="1">
      <c r="A30" s="2" t="inlineStr">
        <is>
          <t>Note</t>
        </is>
      </c>
      <c r="B30" s="3" t="inlineStr">
        <is>
          <t>One task description in the database (Oasis Fertility 'Website Migration') contained a hosting email and plaintext password. It is redacted here, but it is still stored in the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1" customWidth="1" min="10" max="10"/>
  </cols>
  <sheetData>
    <row r="1">
      <c r="A1" s="6" t="inlineStr">
        <is>
          <t>Hours by service and week</t>
        </is>
      </c>
    </row>
    <row r="3" ht="30" customHeight="1">
      <c r="A3" s="7" t="inlineStr">
        <is>
          <t>Service</t>
        </is>
      </c>
      <c r="B3" s="7" t="inlineStr">
        <is>
          <t>Source</t>
        </is>
      </c>
      <c r="C3" s="7" t="inlineStr">
        <is>
          <t>Wk1  03 Aug–09 Aug</t>
        </is>
      </c>
      <c r="D3" s="7" t="inlineStr">
        <is>
          <t>Wk2  10 Aug–16 Aug</t>
        </is>
      </c>
      <c r="E3" s="7" t="inlineStr">
        <is>
          <t>Wk3  17 Aug–23 Aug</t>
        </is>
      </c>
      <c r="F3" s="7" t="inlineStr">
        <is>
          <t>Wk4  24 Aug–30 Aug</t>
        </is>
      </c>
      <c r="G3" s="7" t="inlineStr">
        <is>
          <t>Wk5  31 Aug–06 Sep</t>
        </is>
      </c>
      <c r="H3" s="7" t="inlineStr">
        <is>
          <t>Wk6  07 Sep–13 Sep</t>
        </is>
      </c>
      <c r="I3" s="7" t="inlineStr">
        <is>
          <t>Wk7  14 Sep–20 Sep</t>
        </is>
      </c>
      <c r="J3" s="7" t="inlineStr">
        <is>
          <t>TOTAL</t>
        </is>
      </c>
    </row>
    <row r="4">
      <c r="A4" s="8" t="inlineStr">
        <is>
          <t>Development</t>
        </is>
      </c>
      <c r="B4" s="8" t="inlineStr">
        <is>
          <t>Timer total</t>
        </is>
      </c>
      <c r="C4" s="9">
        <f>SUMIFS(Data!$L$2:$L$320,Data!$C$2:$C$320,$A4,Data!$A$2:$A$320,"2026-08-03")</f>
        <v/>
      </c>
      <c r="D4" s="9">
        <f>SUMIFS(Data!$L$2:$L$320,Data!$C$2:$C$320,$A4,Data!$A$2:$A$320,"2026-08-10")</f>
        <v/>
      </c>
      <c r="E4" s="9">
        <f>SUMIFS(Data!$L$2:$L$320,Data!$C$2:$C$320,$A4,Data!$A$2:$A$320,"2026-08-17")</f>
        <v/>
      </c>
      <c r="F4" s="9">
        <f>SUMIFS(Data!$L$2:$L$320,Data!$C$2:$C$320,$A4,Data!$A$2:$A$320,"2026-08-24")</f>
        <v/>
      </c>
      <c r="G4" s="9">
        <f>SUMIFS(Data!$L$2:$L$320,Data!$C$2:$C$320,$A4,Data!$A$2:$A$320,"2026-08-31")</f>
        <v/>
      </c>
      <c r="H4" s="9">
        <f>SUMIFS(Data!$L$2:$L$320,Data!$C$2:$C$320,$A4,Data!$A$2:$A$320,"2026-09-07")</f>
        <v/>
      </c>
      <c r="I4" s="9">
        <f>SUMIFS(Data!$L$2:$L$320,Data!$C$2:$C$320,$A4,Data!$A$2:$A$320,"2026-09-14")</f>
        <v/>
      </c>
      <c r="J4" s="9">
        <f>SUM(C4:I4)</f>
        <v/>
      </c>
    </row>
    <row r="5">
      <c r="A5" s="10" t="inlineStr"/>
      <c r="B5" s="10" t="inlineStr">
        <is>
          <t>Standup</t>
        </is>
      </c>
      <c r="C5" s="11">
        <f>SUMIFS(Data!$M$2:$M$320,Data!$C$2:$C$320,$A4,Data!$A$2:$A$320,"2026-08-03")</f>
        <v/>
      </c>
      <c r="D5" s="11">
        <f>SUMIFS(Data!$M$2:$M$320,Data!$C$2:$C$320,$A4,Data!$A$2:$A$320,"2026-08-10")</f>
        <v/>
      </c>
      <c r="E5" s="11">
        <f>SUMIFS(Data!$M$2:$M$320,Data!$C$2:$C$320,$A4,Data!$A$2:$A$320,"2026-08-17")</f>
        <v/>
      </c>
      <c r="F5" s="11">
        <f>SUMIFS(Data!$M$2:$M$320,Data!$C$2:$C$320,$A4,Data!$A$2:$A$320,"2026-08-24")</f>
        <v/>
      </c>
      <c r="G5" s="11">
        <f>SUMIFS(Data!$M$2:$M$320,Data!$C$2:$C$320,$A4,Data!$A$2:$A$320,"2026-08-31")</f>
        <v/>
      </c>
      <c r="H5" s="11">
        <f>SUMIFS(Data!$M$2:$M$320,Data!$C$2:$C$320,$A4,Data!$A$2:$A$320,"2026-09-07")</f>
        <v/>
      </c>
      <c r="I5" s="11">
        <f>SUMIFS(Data!$M$2:$M$320,Data!$C$2:$C$320,$A4,Data!$A$2:$A$320,"2026-09-14")</f>
        <v/>
      </c>
      <c r="J5" s="11">
        <f>SUM(C5:I5)</f>
        <v/>
      </c>
    </row>
    <row r="6">
      <c r="A6" s="8" t="inlineStr">
        <is>
          <t>Design</t>
        </is>
      </c>
      <c r="B6" s="8" t="inlineStr">
        <is>
          <t>Timer total</t>
        </is>
      </c>
      <c r="C6" s="9">
        <f>SUMIFS(Data!$L$2:$L$320,Data!$C$2:$C$320,$A6,Data!$A$2:$A$320,"2026-08-03")</f>
        <v/>
      </c>
      <c r="D6" s="9">
        <f>SUMIFS(Data!$L$2:$L$320,Data!$C$2:$C$320,$A6,Data!$A$2:$A$320,"2026-08-10")</f>
        <v/>
      </c>
      <c r="E6" s="9">
        <f>SUMIFS(Data!$L$2:$L$320,Data!$C$2:$C$320,$A6,Data!$A$2:$A$320,"2026-08-17")</f>
        <v/>
      </c>
      <c r="F6" s="9">
        <f>SUMIFS(Data!$L$2:$L$320,Data!$C$2:$C$320,$A6,Data!$A$2:$A$320,"2026-08-24")</f>
        <v/>
      </c>
      <c r="G6" s="9">
        <f>SUMIFS(Data!$L$2:$L$320,Data!$C$2:$C$320,$A6,Data!$A$2:$A$320,"2026-08-31")</f>
        <v/>
      </c>
      <c r="H6" s="9">
        <f>SUMIFS(Data!$L$2:$L$320,Data!$C$2:$C$320,$A6,Data!$A$2:$A$320,"2026-09-07")</f>
        <v/>
      </c>
      <c r="I6" s="9">
        <f>SUMIFS(Data!$L$2:$L$320,Data!$C$2:$C$320,$A6,Data!$A$2:$A$320,"2026-09-14")</f>
        <v/>
      </c>
      <c r="J6" s="9">
        <f>SUM(C6:I6)</f>
        <v/>
      </c>
    </row>
    <row r="7">
      <c r="A7" s="10" t="inlineStr"/>
      <c r="B7" s="10" t="inlineStr">
        <is>
          <t>Standup</t>
        </is>
      </c>
      <c r="C7" s="11">
        <f>SUMIFS(Data!$M$2:$M$320,Data!$C$2:$C$320,$A6,Data!$A$2:$A$320,"2026-08-03")</f>
        <v/>
      </c>
      <c r="D7" s="11">
        <f>SUMIFS(Data!$M$2:$M$320,Data!$C$2:$C$320,$A6,Data!$A$2:$A$320,"2026-08-10")</f>
        <v/>
      </c>
      <c r="E7" s="11">
        <f>SUMIFS(Data!$M$2:$M$320,Data!$C$2:$C$320,$A6,Data!$A$2:$A$320,"2026-08-17")</f>
        <v/>
      </c>
      <c r="F7" s="11">
        <f>SUMIFS(Data!$M$2:$M$320,Data!$C$2:$C$320,$A6,Data!$A$2:$A$320,"2026-08-24")</f>
        <v/>
      </c>
      <c r="G7" s="11">
        <f>SUMIFS(Data!$M$2:$M$320,Data!$C$2:$C$320,$A6,Data!$A$2:$A$320,"2026-08-31")</f>
        <v/>
      </c>
      <c r="H7" s="11">
        <f>SUMIFS(Data!$M$2:$M$320,Data!$C$2:$C$320,$A6,Data!$A$2:$A$320,"2026-09-07")</f>
        <v/>
      </c>
      <c r="I7" s="11">
        <f>SUMIFS(Data!$M$2:$M$320,Data!$C$2:$C$320,$A6,Data!$A$2:$A$320,"2026-09-14")</f>
        <v/>
      </c>
      <c r="J7" s="11">
        <f>SUM(C7:I7)</f>
        <v/>
      </c>
    </row>
    <row r="8">
      <c r="A8" s="8" t="inlineStr">
        <is>
          <t>Marketing</t>
        </is>
      </c>
      <c r="B8" s="8" t="inlineStr">
        <is>
          <t>Timer total</t>
        </is>
      </c>
      <c r="C8" s="9">
        <f>SUMIFS(Data!$L$2:$L$320,Data!$C$2:$C$320,$A8,Data!$A$2:$A$320,"2026-08-03")</f>
        <v/>
      </c>
      <c r="D8" s="9">
        <f>SUMIFS(Data!$L$2:$L$320,Data!$C$2:$C$320,$A8,Data!$A$2:$A$320,"2026-08-10")</f>
        <v/>
      </c>
      <c r="E8" s="9">
        <f>SUMIFS(Data!$L$2:$L$320,Data!$C$2:$C$320,$A8,Data!$A$2:$A$320,"2026-08-17")</f>
        <v/>
      </c>
      <c r="F8" s="9">
        <f>SUMIFS(Data!$L$2:$L$320,Data!$C$2:$C$320,$A8,Data!$A$2:$A$320,"2026-08-24")</f>
        <v/>
      </c>
      <c r="G8" s="9">
        <f>SUMIFS(Data!$L$2:$L$320,Data!$C$2:$C$320,$A8,Data!$A$2:$A$320,"2026-08-31")</f>
        <v/>
      </c>
      <c r="H8" s="9">
        <f>SUMIFS(Data!$L$2:$L$320,Data!$C$2:$C$320,$A8,Data!$A$2:$A$320,"2026-09-07")</f>
        <v/>
      </c>
      <c r="I8" s="9">
        <f>SUMIFS(Data!$L$2:$L$320,Data!$C$2:$C$320,$A8,Data!$A$2:$A$320,"2026-09-14")</f>
        <v/>
      </c>
      <c r="J8" s="9">
        <f>SUM(C8:I8)</f>
        <v/>
      </c>
    </row>
    <row r="9">
      <c r="A9" s="10" t="inlineStr"/>
      <c r="B9" s="10" t="inlineStr">
        <is>
          <t>Standup</t>
        </is>
      </c>
      <c r="C9" s="11">
        <f>SUMIFS(Data!$M$2:$M$320,Data!$C$2:$C$320,$A8,Data!$A$2:$A$320,"2026-08-03")</f>
        <v/>
      </c>
      <c r="D9" s="11">
        <f>SUMIFS(Data!$M$2:$M$320,Data!$C$2:$C$320,$A8,Data!$A$2:$A$320,"2026-08-10")</f>
        <v/>
      </c>
      <c r="E9" s="11">
        <f>SUMIFS(Data!$M$2:$M$320,Data!$C$2:$C$320,$A8,Data!$A$2:$A$320,"2026-08-17")</f>
        <v/>
      </c>
      <c r="F9" s="11">
        <f>SUMIFS(Data!$M$2:$M$320,Data!$C$2:$C$320,$A8,Data!$A$2:$A$320,"2026-08-24")</f>
        <v/>
      </c>
      <c r="G9" s="11">
        <f>SUMIFS(Data!$M$2:$M$320,Data!$C$2:$C$320,$A8,Data!$A$2:$A$320,"2026-08-31")</f>
        <v/>
      </c>
      <c r="H9" s="11">
        <f>SUMIFS(Data!$M$2:$M$320,Data!$C$2:$C$320,$A8,Data!$A$2:$A$320,"2026-09-07")</f>
        <v/>
      </c>
      <c r="I9" s="11">
        <f>SUMIFS(Data!$M$2:$M$320,Data!$C$2:$C$320,$A8,Data!$A$2:$A$320,"2026-09-14")</f>
        <v/>
      </c>
      <c r="J9" s="11">
        <f>SUM(C9:I9)</f>
        <v/>
      </c>
    </row>
    <row r="10">
      <c r="A10" s="8" t="inlineStr">
        <is>
          <t>SEO</t>
        </is>
      </c>
      <c r="B10" s="8" t="inlineStr">
        <is>
          <t>Timer total</t>
        </is>
      </c>
      <c r="C10" s="9">
        <f>SUMIFS(Data!$L$2:$L$320,Data!$C$2:$C$320,$A10,Data!$A$2:$A$320,"2026-08-03")</f>
        <v/>
      </c>
      <c r="D10" s="9">
        <f>SUMIFS(Data!$L$2:$L$320,Data!$C$2:$C$320,$A10,Data!$A$2:$A$320,"2026-08-10")</f>
        <v/>
      </c>
      <c r="E10" s="9">
        <f>SUMIFS(Data!$L$2:$L$320,Data!$C$2:$C$320,$A10,Data!$A$2:$A$320,"2026-08-17")</f>
        <v/>
      </c>
      <c r="F10" s="9">
        <f>SUMIFS(Data!$L$2:$L$320,Data!$C$2:$C$320,$A10,Data!$A$2:$A$320,"2026-08-24")</f>
        <v/>
      </c>
      <c r="G10" s="9">
        <f>SUMIFS(Data!$L$2:$L$320,Data!$C$2:$C$320,$A10,Data!$A$2:$A$320,"2026-08-31")</f>
        <v/>
      </c>
      <c r="H10" s="9">
        <f>SUMIFS(Data!$L$2:$L$320,Data!$C$2:$C$320,$A10,Data!$A$2:$A$320,"2026-09-07")</f>
        <v/>
      </c>
      <c r="I10" s="9">
        <f>SUMIFS(Data!$L$2:$L$320,Data!$C$2:$C$320,$A10,Data!$A$2:$A$320,"2026-09-14")</f>
        <v/>
      </c>
      <c r="J10" s="9">
        <f>SUM(C10:I10)</f>
        <v/>
      </c>
    </row>
    <row r="11">
      <c r="A11" s="10" t="inlineStr"/>
      <c r="B11" s="10" t="inlineStr">
        <is>
          <t>Standup</t>
        </is>
      </c>
      <c r="C11" s="11">
        <f>SUMIFS(Data!$M$2:$M$320,Data!$C$2:$C$320,$A10,Data!$A$2:$A$320,"2026-08-03")</f>
        <v/>
      </c>
      <c r="D11" s="11">
        <f>SUMIFS(Data!$M$2:$M$320,Data!$C$2:$C$320,$A10,Data!$A$2:$A$320,"2026-08-10")</f>
        <v/>
      </c>
      <c r="E11" s="11">
        <f>SUMIFS(Data!$M$2:$M$320,Data!$C$2:$C$320,$A10,Data!$A$2:$A$320,"2026-08-17")</f>
        <v/>
      </c>
      <c r="F11" s="11">
        <f>SUMIFS(Data!$M$2:$M$320,Data!$C$2:$C$320,$A10,Data!$A$2:$A$320,"2026-08-24")</f>
        <v/>
      </c>
      <c r="G11" s="11">
        <f>SUMIFS(Data!$M$2:$M$320,Data!$C$2:$C$320,$A10,Data!$A$2:$A$320,"2026-08-31")</f>
        <v/>
      </c>
      <c r="H11" s="11">
        <f>SUMIFS(Data!$M$2:$M$320,Data!$C$2:$C$320,$A10,Data!$A$2:$A$320,"2026-09-07")</f>
        <v/>
      </c>
      <c r="I11" s="11">
        <f>SUMIFS(Data!$M$2:$M$320,Data!$C$2:$C$320,$A10,Data!$A$2:$A$320,"2026-09-14")</f>
        <v/>
      </c>
      <c r="J11" s="11">
        <f>SUM(C11:I11)</f>
        <v/>
      </c>
    </row>
    <row r="12">
      <c r="A12" s="8" t="inlineStr">
        <is>
          <t>Support</t>
        </is>
      </c>
      <c r="B12" s="8" t="inlineStr">
        <is>
          <t>Timer total</t>
        </is>
      </c>
      <c r="C12" s="9">
        <f>SUMIFS(Data!$L$2:$L$320,Data!$C$2:$C$320,$A12,Data!$A$2:$A$320,"2026-08-03")</f>
        <v/>
      </c>
      <c r="D12" s="9">
        <f>SUMIFS(Data!$L$2:$L$320,Data!$C$2:$C$320,$A12,Data!$A$2:$A$320,"2026-08-10")</f>
        <v/>
      </c>
      <c r="E12" s="9">
        <f>SUMIFS(Data!$L$2:$L$320,Data!$C$2:$C$320,$A12,Data!$A$2:$A$320,"2026-08-17")</f>
        <v/>
      </c>
      <c r="F12" s="9">
        <f>SUMIFS(Data!$L$2:$L$320,Data!$C$2:$C$320,$A12,Data!$A$2:$A$320,"2026-08-24")</f>
        <v/>
      </c>
      <c r="G12" s="9">
        <f>SUMIFS(Data!$L$2:$L$320,Data!$C$2:$C$320,$A12,Data!$A$2:$A$320,"2026-08-31")</f>
        <v/>
      </c>
      <c r="H12" s="9">
        <f>SUMIFS(Data!$L$2:$L$320,Data!$C$2:$C$320,$A12,Data!$A$2:$A$320,"2026-09-07")</f>
        <v/>
      </c>
      <c r="I12" s="9">
        <f>SUMIFS(Data!$L$2:$L$320,Data!$C$2:$C$320,$A12,Data!$A$2:$A$320,"2026-09-14")</f>
        <v/>
      </c>
      <c r="J12" s="9">
        <f>SUM(C12:I12)</f>
        <v/>
      </c>
    </row>
    <row r="13">
      <c r="A13" s="10" t="inlineStr"/>
      <c r="B13" s="10" t="inlineStr">
        <is>
          <t>Standup</t>
        </is>
      </c>
      <c r="C13" s="11">
        <f>SUMIFS(Data!$M$2:$M$320,Data!$C$2:$C$320,$A12,Data!$A$2:$A$320,"2026-08-03")</f>
        <v/>
      </c>
      <c r="D13" s="11">
        <f>SUMIFS(Data!$M$2:$M$320,Data!$C$2:$C$320,$A12,Data!$A$2:$A$320,"2026-08-10")</f>
        <v/>
      </c>
      <c r="E13" s="11">
        <f>SUMIFS(Data!$M$2:$M$320,Data!$C$2:$C$320,$A12,Data!$A$2:$A$320,"2026-08-17")</f>
        <v/>
      </c>
      <c r="F13" s="11">
        <f>SUMIFS(Data!$M$2:$M$320,Data!$C$2:$C$320,$A12,Data!$A$2:$A$320,"2026-08-24")</f>
        <v/>
      </c>
      <c r="G13" s="11">
        <f>SUMIFS(Data!$M$2:$M$320,Data!$C$2:$C$320,$A12,Data!$A$2:$A$320,"2026-08-31")</f>
        <v/>
      </c>
      <c r="H13" s="11">
        <f>SUMIFS(Data!$M$2:$M$320,Data!$C$2:$C$320,$A12,Data!$A$2:$A$320,"2026-09-07")</f>
        <v/>
      </c>
      <c r="I13" s="11">
        <f>SUMIFS(Data!$M$2:$M$320,Data!$C$2:$C$320,$A12,Data!$A$2:$A$320,"2026-09-14")</f>
        <v/>
      </c>
      <c r="J13" s="11">
        <f>SUM(C13:I13)</f>
        <v/>
      </c>
    </row>
    <row r="14">
      <c r="A14" s="8" t="inlineStr">
        <is>
          <t>Content Creation</t>
        </is>
      </c>
      <c r="B14" s="8" t="inlineStr">
        <is>
          <t>Timer total</t>
        </is>
      </c>
      <c r="C14" s="9">
        <f>SUMIFS(Data!$L$2:$L$320,Data!$C$2:$C$320,$A14,Data!$A$2:$A$320,"2026-08-03")</f>
        <v/>
      </c>
      <c r="D14" s="9">
        <f>SUMIFS(Data!$L$2:$L$320,Data!$C$2:$C$320,$A14,Data!$A$2:$A$320,"2026-08-10")</f>
        <v/>
      </c>
      <c r="E14" s="9">
        <f>SUMIFS(Data!$L$2:$L$320,Data!$C$2:$C$320,$A14,Data!$A$2:$A$320,"2026-08-17")</f>
        <v/>
      </c>
      <c r="F14" s="9">
        <f>SUMIFS(Data!$L$2:$L$320,Data!$C$2:$C$320,$A14,Data!$A$2:$A$320,"2026-08-24")</f>
        <v/>
      </c>
      <c r="G14" s="9">
        <f>SUMIFS(Data!$L$2:$L$320,Data!$C$2:$C$320,$A14,Data!$A$2:$A$320,"2026-08-31")</f>
        <v/>
      </c>
      <c r="H14" s="9">
        <f>SUMIFS(Data!$L$2:$L$320,Data!$C$2:$C$320,$A14,Data!$A$2:$A$320,"2026-09-07")</f>
        <v/>
      </c>
      <c r="I14" s="9">
        <f>SUMIFS(Data!$L$2:$L$320,Data!$C$2:$C$320,$A14,Data!$A$2:$A$320,"2026-09-14")</f>
        <v/>
      </c>
      <c r="J14" s="9">
        <f>SUM(C14:I14)</f>
        <v/>
      </c>
    </row>
    <row r="15">
      <c r="A15" s="10" t="inlineStr"/>
      <c r="B15" s="10" t="inlineStr">
        <is>
          <t>Standup</t>
        </is>
      </c>
      <c r="C15" s="11">
        <f>SUMIFS(Data!$M$2:$M$320,Data!$C$2:$C$320,$A14,Data!$A$2:$A$320,"2026-08-03")</f>
        <v/>
      </c>
      <c r="D15" s="11">
        <f>SUMIFS(Data!$M$2:$M$320,Data!$C$2:$C$320,$A14,Data!$A$2:$A$320,"2026-08-10")</f>
        <v/>
      </c>
      <c r="E15" s="11">
        <f>SUMIFS(Data!$M$2:$M$320,Data!$C$2:$C$320,$A14,Data!$A$2:$A$320,"2026-08-17")</f>
        <v/>
      </c>
      <c r="F15" s="11">
        <f>SUMIFS(Data!$M$2:$M$320,Data!$C$2:$C$320,$A14,Data!$A$2:$A$320,"2026-08-24")</f>
        <v/>
      </c>
      <c r="G15" s="11">
        <f>SUMIFS(Data!$M$2:$M$320,Data!$C$2:$C$320,$A14,Data!$A$2:$A$320,"2026-08-31")</f>
        <v/>
      </c>
      <c r="H15" s="11">
        <f>SUMIFS(Data!$M$2:$M$320,Data!$C$2:$C$320,$A14,Data!$A$2:$A$320,"2026-09-07")</f>
        <v/>
      </c>
      <c r="I15" s="11">
        <f>SUMIFS(Data!$M$2:$M$320,Data!$C$2:$C$320,$A14,Data!$A$2:$A$320,"2026-09-14")</f>
        <v/>
      </c>
      <c r="J15" s="11">
        <f>SUM(C15:I15)</f>
        <v/>
      </c>
    </row>
    <row r="16">
      <c r="A16" s="8" t="inlineStr">
        <is>
          <t>(not linked to a task)</t>
        </is>
      </c>
      <c r="B16" s="8" t="inlineStr">
        <is>
          <t>Timer total</t>
        </is>
      </c>
      <c r="C16" s="9">
        <f>SUMIFS(Data!$L$2:$L$320,Data!$C$2:$C$320,$A16,Data!$A$2:$A$320,"2026-08-03")</f>
        <v/>
      </c>
      <c r="D16" s="9">
        <f>SUMIFS(Data!$L$2:$L$320,Data!$C$2:$C$320,$A16,Data!$A$2:$A$320,"2026-08-10")</f>
        <v/>
      </c>
      <c r="E16" s="9">
        <f>SUMIFS(Data!$L$2:$L$320,Data!$C$2:$C$320,$A16,Data!$A$2:$A$320,"2026-08-17")</f>
        <v/>
      </c>
      <c r="F16" s="9">
        <f>SUMIFS(Data!$L$2:$L$320,Data!$C$2:$C$320,$A16,Data!$A$2:$A$320,"2026-08-24")</f>
        <v/>
      </c>
      <c r="G16" s="9">
        <f>SUMIFS(Data!$L$2:$L$320,Data!$C$2:$C$320,$A16,Data!$A$2:$A$320,"2026-08-31")</f>
        <v/>
      </c>
      <c r="H16" s="9">
        <f>SUMIFS(Data!$L$2:$L$320,Data!$C$2:$C$320,$A16,Data!$A$2:$A$320,"2026-09-07")</f>
        <v/>
      </c>
      <c r="I16" s="9">
        <f>SUMIFS(Data!$L$2:$L$320,Data!$C$2:$C$320,$A16,Data!$A$2:$A$320,"2026-09-14")</f>
        <v/>
      </c>
      <c r="J16" s="9">
        <f>SUM(C16:I16)</f>
        <v/>
      </c>
    </row>
    <row r="17">
      <c r="A17" s="10" t="inlineStr"/>
      <c r="B17" s="10" t="inlineStr">
        <is>
          <t>Standup</t>
        </is>
      </c>
      <c r="C17" s="11">
        <f>SUMIFS(Data!$M$2:$M$320,Data!$C$2:$C$320,$A16,Data!$A$2:$A$320,"2026-08-03")</f>
        <v/>
      </c>
      <c r="D17" s="11">
        <f>SUMIFS(Data!$M$2:$M$320,Data!$C$2:$C$320,$A16,Data!$A$2:$A$320,"2026-08-10")</f>
        <v/>
      </c>
      <c r="E17" s="11">
        <f>SUMIFS(Data!$M$2:$M$320,Data!$C$2:$C$320,$A16,Data!$A$2:$A$320,"2026-08-17")</f>
        <v/>
      </c>
      <c r="F17" s="11">
        <f>SUMIFS(Data!$M$2:$M$320,Data!$C$2:$C$320,$A16,Data!$A$2:$A$320,"2026-08-24")</f>
        <v/>
      </c>
      <c r="G17" s="11">
        <f>SUMIFS(Data!$M$2:$M$320,Data!$C$2:$C$320,$A16,Data!$A$2:$A$320,"2026-08-31")</f>
        <v/>
      </c>
      <c r="H17" s="11">
        <f>SUMIFS(Data!$M$2:$M$320,Data!$C$2:$C$320,$A16,Data!$A$2:$A$320,"2026-09-07")</f>
        <v/>
      </c>
      <c r="I17" s="11">
        <f>SUMIFS(Data!$M$2:$M$320,Data!$C$2:$C$320,$A16,Data!$A$2:$A$320,"2026-09-14")</f>
        <v/>
      </c>
      <c r="J17" s="11">
        <f>SUM(C17:I17)</f>
        <v/>
      </c>
    </row>
    <row r="18">
      <c r="A18" s="12" t="inlineStr">
        <is>
          <t>TOTAL</t>
        </is>
      </c>
      <c r="B18" s="12" t="inlineStr">
        <is>
          <t>Timer total</t>
        </is>
      </c>
      <c r="C18" s="13">
        <f>SUMIF($B$4:$B$17,"Timer total",C$4:C$17)</f>
        <v/>
      </c>
      <c r="D18" s="13">
        <f>SUMIF($B$4:$B$17,"Timer total",D$4:D$17)</f>
        <v/>
      </c>
      <c r="E18" s="13">
        <f>SUMIF($B$4:$B$17,"Timer total",E$4:E$17)</f>
        <v/>
      </c>
      <c r="F18" s="13">
        <f>SUMIF($B$4:$B$17,"Timer total",F$4:F$17)</f>
        <v/>
      </c>
      <c r="G18" s="13">
        <f>SUMIF($B$4:$B$17,"Timer total",G$4:G$17)</f>
        <v/>
      </c>
      <c r="H18" s="13">
        <f>SUMIF($B$4:$B$17,"Timer total",H$4:H$17)</f>
        <v/>
      </c>
      <c r="I18" s="13">
        <f>SUMIF($B$4:$B$17,"Timer total",I$4:I$17)</f>
        <v/>
      </c>
      <c r="J18" s="13">
        <f>SUMIF($B$4:$B$17,"Timer total",J$4:J$17)</f>
        <v/>
      </c>
    </row>
    <row r="19">
      <c r="A19" s="12" t="n"/>
      <c r="B19" s="12" t="inlineStr">
        <is>
          <t>Standup</t>
        </is>
      </c>
      <c r="C19" s="13">
        <f>SUMIF($B$4:$B$17,"Standup",C$4:C$17)</f>
        <v/>
      </c>
      <c r="D19" s="13">
        <f>SUMIF($B$4:$B$17,"Standup",D$4:D$17)</f>
        <v/>
      </c>
      <c r="E19" s="13">
        <f>SUMIF($B$4:$B$17,"Standup",E$4:E$17)</f>
        <v/>
      </c>
      <c r="F19" s="13">
        <f>SUMIF($B$4:$B$17,"Standup",F$4:F$17)</f>
        <v/>
      </c>
      <c r="G19" s="13">
        <f>SUMIF($B$4:$B$17,"Standup",G$4:G$17)</f>
        <v/>
      </c>
      <c r="H19" s="13">
        <f>SUMIF($B$4:$B$17,"Standup",H$4:H$17)</f>
        <v/>
      </c>
      <c r="I19" s="13">
        <f>SUMIF($B$4:$B$17,"Standup",I$4:I$17)</f>
        <v/>
      </c>
      <c r="J19" s="13">
        <f>SUMIF($B$4:$B$17,"Standup",J$4:J$17)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1" customWidth="1" min="11" max="11"/>
  </cols>
  <sheetData>
    <row r="1">
      <c r="A1" s="6" t="inlineStr">
        <is>
          <t>Hours by developer and week</t>
        </is>
      </c>
    </row>
    <row r="3" ht="30" customHeight="1">
      <c r="A3" s="7" t="inlineStr">
        <is>
          <t>Developer</t>
        </is>
      </c>
      <c r="B3" s="7" t="inlineStr">
        <is>
          <t>Designation</t>
        </is>
      </c>
      <c r="C3" s="7" t="inlineStr">
        <is>
          <t>Source</t>
        </is>
      </c>
      <c r="D3" s="7" t="inlineStr">
        <is>
          <t>Wk1  03 Aug–09 Aug</t>
        </is>
      </c>
      <c r="E3" s="7" t="inlineStr">
        <is>
          <t>Wk2  10 Aug–16 Aug</t>
        </is>
      </c>
      <c r="F3" s="7" t="inlineStr">
        <is>
          <t>Wk3  17 Aug–23 Aug</t>
        </is>
      </c>
      <c r="G3" s="7" t="inlineStr">
        <is>
          <t>Wk4  24 Aug–30 Aug</t>
        </is>
      </c>
      <c r="H3" s="7" t="inlineStr">
        <is>
          <t>Wk5  31 Aug–06 Sep</t>
        </is>
      </c>
      <c r="I3" s="7" t="inlineStr">
        <is>
          <t>Wk6  07 Sep–13 Sep</t>
        </is>
      </c>
      <c r="J3" s="7" t="inlineStr">
        <is>
          <t>Wk7  14 Sep–20 Sep</t>
        </is>
      </c>
      <c r="K3" s="7" t="inlineStr">
        <is>
          <t>TOTAL</t>
        </is>
      </c>
    </row>
    <row r="4">
      <c r="A4" s="8" t="inlineStr">
        <is>
          <t>ADMIN</t>
        </is>
      </c>
      <c r="B4" s="8" t="inlineStr">
        <is>
          <t>—</t>
        </is>
      </c>
      <c r="C4" s="8" t="inlineStr">
        <is>
          <t>Timer total</t>
        </is>
      </c>
      <c r="D4" s="9">
        <f>SUMIFS(Data!$L$2:$L$320,Data!$D$2:$D$320,$A4,Data!$A$2:$A$320,"2026-08-03")</f>
        <v/>
      </c>
      <c r="E4" s="9">
        <f>SUMIFS(Data!$L$2:$L$320,Data!$D$2:$D$320,$A4,Data!$A$2:$A$320,"2026-08-10")</f>
        <v/>
      </c>
      <c r="F4" s="9">
        <f>SUMIFS(Data!$L$2:$L$320,Data!$D$2:$D$320,$A4,Data!$A$2:$A$320,"2026-08-17")</f>
        <v/>
      </c>
      <c r="G4" s="9">
        <f>SUMIFS(Data!$L$2:$L$320,Data!$D$2:$D$320,$A4,Data!$A$2:$A$320,"2026-08-24")</f>
        <v/>
      </c>
      <c r="H4" s="9">
        <f>SUMIFS(Data!$L$2:$L$320,Data!$D$2:$D$320,$A4,Data!$A$2:$A$320,"2026-08-31")</f>
        <v/>
      </c>
      <c r="I4" s="9">
        <f>SUMIFS(Data!$L$2:$L$320,Data!$D$2:$D$320,$A4,Data!$A$2:$A$320,"2026-09-07")</f>
        <v/>
      </c>
      <c r="J4" s="9">
        <f>SUMIFS(Data!$L$2:$L$320,Data!$D$2:$D$320,$A4,Data!$A$2:$A$320,"2026-09-14")</f>
        <v/>
      </c>
      <c r="K4" s="9">
        <f>SUM(D4:J4)</f>
        <v/>
      </c>
    </row>
    <row r="5">
      <c r="A5" s="10" t="inlineStr"/>
      <c r="B5" s="10" t="inlineStr"/>
      <c r="C5" s="10" t="inlineStr">
        <is>
          <t>Standup</t>
        </is>
      </c>
      <c r="D5" s="11">
        <f>SUMIFS(Data!$M$2:$M$320,Data!$D$2:$D$320,$A4,Data!$A$2:$A$320,"2026-08-03")</f>
        <v/>
      </c>
      <c r="E5" s="11">
        <f>SUMIFS(Data!$M$2:$M$320,Data!$D$2:$D$320,$A4,Data!$A$2:$A$320,"2026-08-10")</f>
        <v/>
      </c>
      <c r="F5" s="11">
        <f>SUMIFS(Data!$M$2:$M$320,Data!$D$2:$D$320,$A4,Data!$A$2:$A$320,"2026-08-17")</f>
        <v/>
      </c>
      <c r="G5" s="11">
        <f>SUMIFS(Data!$M$2:$M$320,Data!$D$2:$D$320,$A4,Data!$A$2:$A$320,"2026-08-24")</f>
        <v/>
      </c>
      <c r="H5" s="11">
        <f>SUMIFS(Data!$M$2:$M$320,Data!$D$2:$D$320,$A4,Data!$A$2:$A$320,"2026-08-31")</f>
        <v/>
      </c>
      <c r="I5" s="11">
        <f>SUMIFS(Data!$M$2:$M$320,Data!$D$2:$D$320,$A4,Data!$A$2:$A$320,"2026-09-07")</f>
        <v/>
      </c>
      <c r="J5" s="11">
        <f>SUMIFS(Data!$M$2:$M$320,Data!$D$2:$D$320,$A4,Data!$A$2:$A$320,"2026-09-14")</f>
        <v/>
      </c>
      <c r="K5" s="11">
        <f>SUM(D5:J5)</f>
        <v/>
      </c>
    </row>
    <row r="6">
      <c r="A6" s="8" t="inlineStr">
        <is>
          <t>Abbas Khan</t>
        </is>
      </c>
      <c r="B6" s="8" t="inlineStr">
        <is>
          <t>CMS Developer and UI/UX Designer</t>
        </is>
      </c>
      <c r="C6" s="8" t="inlineStr">
        <is>
          <t>Timer total</t>
        </is>
      </c>
      <c r="D6" s="9">
        <f>SUMIFS(Data!$L$2:$L$320,Data!$D$2:$D$320,$A6,Data!$A$2:$A$320,"2026-08-03")</f>
        <v/>
      </c>
      <c r="E6" s="9">
        <f>SUMIFS(Data!$L$2:$L$320,Data!$D$2:$D$320,$A6,Data!$A$2:$A$320,"2026-08-10")</f>
        <v/>
      </c>
      <c r="F6" s="9">
        <f>SUMIFS(Data!$L$2:$L$320,Data!$D$2:$D$320,$A6,Data!$A$2:$A$320,"2026-08-17")</f>
        <v/>
      </c>
      <c r="G6" s="9">
        <f>SUMIFS(Data!$L$2:$L$320,Data!$D$2:$D$320,$A6,Data!$A$2:$A$320,"2026-08-24")</f>
        <v/>
      </c>
      <c r="H6" s="9">
        <f>SUMIFS(Data!$L$2:$L$320,Data!$D$2:$D$320,$A6,Data!$A$2:$A$320,"2026-08-31")</f>
        <v/>
      </c>
      <c r="I6" s="9">
        <f>SUMIFS(Data!$L$2:$L$320,Data!$D$2:$D$320,$A6,Data!$A$2:$A$320,"2026-09-07")</f>
        <v/>
      </c>
      <c r="J6" s="9">
        <f>SUMIFS(Data!$L$2:$L$320,Data!$D$2:$D$320,$A6,Data!$A$2:$A$320,"2026-09-14")</f>
        <v/>
      </c>
      <c r="K6" s="9">
        <f>SUM(D6:J6)</f>
        <v/>
      </c>
    </row>
    <row r="7">
      <c r="A7" s="10" t="inlineStr"/>
      <c r="B7" s="10" t="inlineStr"/>
      <c r="C7" s="10" t="inlineStr">
        <is>
          <t>Standup</t>
        </is>
      </c>
      <c r="D7" s="11">
        <f>SUMIFS(Data!$M$2:$M$320,Data!$D$2:$D$320,$A6,Data!$A$2:$A$320,"2026-08-03")</f>
        <v/>
      </c>
      <c r="E7" s="11">
        <f>SUMIFS(Data!$M$2:$M$320,Data!$D$2:$D$320,$A6,Data!$A$2:$A$320,"2026-08-10")</f>
        <v/>
      </c>
      <c r="F7" s="11">
        <f>SUMIFS(Data!$M$2:$M$320,Data!$D$2:$D$320,$A6,Data!$A$2:$A$320,"2026-08-17")</f>
        <v/>
      </c>
      <c r="G7" s="11">
        <f>SUMIFS(Data!$M$2:$M$320,Data!$D$2:$D$320,$A6,Data!$A$2:$A$320,"2026-08-24")</f>
        <v/>
      </c>
      <c r="H7" s="11">
        <f>SUMIFS(Data!$M$2:$M$320,Data!$D$2:$D$320,$A6,Data!$A$2:$A$320,"2026-08-31")</f>
        <v/>
      </c>
      <c r="I7" s="11">
        <f>SUMIFS(Data!$M$2:$M$320,Data!$D$2:$D$320,$A6,Data!$A$2:$A$320,"2026-09-07")</f>
        <v/>
      </c>
      <c r="J7" s="11">
        <f>SUMIFS(Data!$M$2:$M$320,Data!$D$2:$D$320,$A6,Data!$A$2:$A$320,"2026-09-14")</f>
        <v/>
      </c>
      <c r="K7" s="11">
        <f>SUM(D7:J7)</f>
        <v/>
      </c>
    </row>
    <row r="8">
      <c r="A8" s="8" t="inlineStr">
        <is>
          <t>Atta Ul Mustafa Saad</t>
        </is>
      </c>
      <c r="B8" s="8" t="inlineStr">
        <is>
          <t>UI/UX Designer</t>
        </is>
      </c>
      <c r="C8" s="8" t="inlineStr">
        <is>
          <t>Timer total</t>
        </is>
      </c>
      <c r="D8" s="9">
        <f>SUMIFS(Data!$L$2:$L$320,Data!$D$2:$D$320,$A8,Data!$A$2:$A$320,"2026-08-03")</f>
        <v/>
      </c>
      <c r="E8" s="9">
        <f>SUMIFS(Data!$L$2:$L$320,Data!$D$2:$D$320,$A8,Data!$A$2:$A$320,"2026-08-10")</f>
        <v/>
      </c>
      <c r="F8" s="9">
        <f>SUMIFS(Data!$L$2:$L$320,Data!$D$2:$D$320,$A8,Data!$A$2:$A$320,"2026-08-17")</f>
        <v/>
      </c>
      <c r="G8" s="9">
        <f>SUMIFS(Data!$L$2:$L$320,Data!$D$2:$D$320,$A8,Data!$A$2:$A$320,"2026-08-24")</f>
        <v/>
      </c>
      <c r="H8" s="9">
        <f>SUMIFS(Data!$L$2:$L$320,Data!$D$2:$D$320,$A8,Data!$A$2:$A$320,"2026-08-31")</f>
        <v/>
      </c>
      <c r="I8" s="9">
        <f>SUMIFS(Data!$L$2:$L$320,Data!$D$2:$D$320,$A8,Data!$A$2:$A$320,"2026-09-07")</f>
        <v/>
      </c>
      <c r="J8" s="9">
        <f>SUMIFS(Data!$L$2:$L$320,Data!$D$2:$D$320,$A8,Data!$A$2:$A$320,"2026-09-14")</f>
        <v/>
      </c>
      <c r="K8" s="9">
        <f>SUM(D8:J8)</f>
        <v/>
      </c>
    </row>
    <row r="9">
      <c r="A9" s="10" t="inlineStr"/>
      <c r="B9" s="10" t="inlineStr"/>
      <c r="C9" s="10" t="inlineStr">
        <is>
          <t>Standup</t>
        </is>
      </c>
      <c r="D9" s="11">
        <f>SUMIFS(Data!$M$2:$M$320,Data!$D$2:$D$320,$A8,Data!$A$2:$A$320,"2026-08-03")</f>
        <v/>
      </c>
      <c r="E9" s="11">
        <f>SUMIFS(Data!$M$2:$M$320,Data!$D$2:$D$320,$A8,Data!$A$2:$A$320,"2026-08-10")</f>
        <v/>
      </c>
      <c r="F9" s="11">
        <f>SUMIFS(Data!$M$2:$M$320,Data!$D$2:$D$320,$A8,Data!$A$2:$A$320,"2026-08-17")</f>
        <v/>
      </c>
      <c r="G9" s="11">
        <f>SUMIFS(Data!$M$2:$M$320,Data!$D$2:$D$320,$A8,Data!$A$2:$A$320,"2026-08-24")</f>
        <v/>
      </c>
      <c r="H9" s="11">
        <f>SUMIFS(Data!$M$2:$M$320,Data!$D$2:$D$320,$A8,Data!$A$2:$A$320,"2026-08-31")</f>
        <v/>
      </c>
      <c r="I9" s="11">
        <f>SUMIFS(Data!$M$2:$M$320,Data!$D$2:$D$320,$A8,Data!$A$2:$A$320,"2026-09-07")</f>
        <v/>
      </c>
      <c r="J9" s="11">
        <f>SUMIFS(Data!$M$2:$M$320,Data!$D$2:$D$320,$A8,Data!$A$2:$A$320,"2026-09-14")</f>
        <v/>
      </c>
      <c r="K9" s="11">
        <f>SUM(D9:J9)</f>
        <v/>
      </c>
    </row>
    <row r="10">
      <c r="A10" s="8" t="inlineStr">
        <is>
          <t>Ghayas</t>
        </is>
      </c>
      <c r="B10" s="8" t="inlineStr">
        <is>
          <t>Chief Technology Officer</t>
        </is>
      </c>
      <c r="C10" s="8" t="inlineStr">
        <is>
          <t>Timer total</t>
        </is>
      </c>
      <c r="D10" s="9">
        <f>SUMIFS(Data!$L$2:$L$320,Data!$D$2:$D$320,$A10,Data!$A$2:$A$320,"2026-08-03")</f>
        <v/>
      </c>
      <c r="E10" s="9">
        <f>SUMIFS(Data!$L$2:$L$320,Data!$D$2:$D$320,$A10,Data!$A$2:$A$320,"2026-08-10")</f>
        <v/>
      </c>
      <c r="F10" s="9">
        <f>SUMIFS(Data!$L$2:$L$320,Data!$D$2:$D$320,$A10,Data!$A$2:$A$320,"2026-08-17")</f>
        <v/>
      </c>
      <c r="G10" s="9">
        <f>SUMIFS(Data!$L$2:$L$320,Data!$D$2:$D$320,$A10,Data!$A$2:$A$320,"2026-08-24")</f>
        <v/>
      </c>
      <c r="H10" s="9">
        <f>SUMIFS(Data!$L$2:$L$320,Data!$D$2:$D$320,$A10,Data!$A$2:$A$320,"2026-08-31")</f>
        <v/>
      </c>
      <c r="I10" s="9">
        <f>SUMIFS(Data!$L$2:$L$320,Data!$D$2:$D$320,$A10,Data!$A$2:$A$320,"2026-09-07")</f>
        <v/>
      </c>
      <c r="J10" s="9">
        <f>SUMIFS(Data!$L$2:$L$320,Data!$D$2:$D$320,$A10,Data!$A$2:$A$320,"2026-09-14")</f>
        <v/>
      </c>
      <c r="K10" s="9">
        <f>SUM(D10:J10)</f>
        <v/>
      </c>
    </row>
    <row r="11">
      <c r="A11" s="10" t="inlineStr"/>
      <c r="B11" s="10" t="inlineStr"/>
      <c r="C11" s="10" t="inlineStr">
        <is>
          <t>Standup</t>
        </is>
      </c>
      <c r="D11" s="11">
        <f>SUMIFS(Data!$M$2:$M$320,Data!$D$2:$D$320,$A10,Data!$A$2:$A$320,"2026-08-03")</f>
        <v/>
      </c>
      <c r="E11" s="11">
        <f>SUMIFS(Data!$M$2:$M$320,Data!$D$2:$D$320,$A10,Data!$A$2:$A$320,"2026-08-10")</f>
        <v/>
      </c>
      <c r="F11" s="11">
        <f>SUMIFS(Data!$M$2:$M$320,Data!$D$2:$D$320,$A10,Data!$A$2:$A$320,"2026-08-17")</f>
        <v/>
      </c>
      <c r="G11" s="11">
        <f>SUMIFS(Data!$M$2:$M$320,Data!$D$2:$D$320,$A10,Data!$A$2:$A$320,"2026-08-24")</f>
        <v/>
      </c>
      <c r="H11" s="11">
        <f>SUMIFS(Data!$M$2:$M$320,Data!$D$2:$D$320,$A10,Data!$A$2:$A$320,"2026-08-31")</f>
        <v/>
      </c>
      <c r="I11" s="11">
        <f>SUMIFS(Data!$M$2:$M$320,Data!$D$2:$D$320,$A10,Data!$A$2:$A$320,"2026-09-07")</f>
        <v/>
      </c>
      <c r="J11" s="11">
        <f>SUMIFS(Data!$M$2:$M$320,Data!$D$2:$D$320,$A10,Data!$A$2:$A$320,"2026-09-14")</f>
        <v/>
      </c>
      <c r="K11" s="11">
        <f>SUM(D11:J11)</f>
        <v/>
      </c>
    </row>
    <row r="12">
      <c r="A12" s="8" t="inlineStr">
        <is>
          <t>Maaz Tareen</t>
        </is>
      </c>
      <c r="B12" s="8" t="inlineStr">
        <is>
          <t>UI/UX Designer</t>
        </is>
      </c>
      <c r="C12" s="8" t="inlineStr">
        <is>
          <t>Timer total</t>
        </is>
      </c>
      <c r="D12" s="9">
        <f>SUMIFS(Data!$L$2:$L$320,Data!$D$2:$D$320,$A12,Data!$A$2:$A$320,"2026-08-03")</f>
        <v/>
      </c>
      <c r="E12" s="9">
        <f>SUMIFS(Data!$L$2:$L$320,Data!$D$2:$D$320,$A12,Data!$A$2:$A$320,"2026-08-10")</f>
        <v/>
      </c>
      <c r="F12" s="9">
        <f>SUMIFS(Data!$L$2:$L$320,Data!$D$2:$D$320,$A12,Data!$A$2:$A$320,"2026-08-17")</f>
        <v/>
      </c>
      <c r="G12" s="9">
        <f>SUMIFS(Data!$L$2:$L$320,Data!$D$2:$D$320,$A12,Data!$A$2:$A$320,"2026-08-24")</f>
        <v/>
      </c>
      <c r="H12" s="9">
        <f>SUMIFS(Data!$L$2:$L$320,Data!$D$2:$D$320,$A12,Data!$A$2:$A$320,"2026-08-31")</f>
        <v/>
      </c>
      <c r="I12" s="9">
        <f>SUMIFS(Data!$L$2:$L$320,Data!$D$2:$D$320,$A12,Data!$A$2:$A$320,"2026-09-07")</f>
        <v/>
      </c>
      <c r="J12" s="9">
        <f>SUMIFS(Data!$L$2:$L$320,Data!$D$2:$D$320,$A12,Data!$A$2:$A$320,"2026-09-14")</f>
        <v/>
      </c>
      <c r="K12" s="9">
        <f>SUM(D12:J12)</f>
        <v/>
      </c>
    </row>
    <row r="13">
      <c r="A13" s="10" t="inlineStr"/>
      <c r="B13" s="10" t="inlineStr"/>
      <c r="C13" s="10" t="inlineStr">
        <is>
          <t>Standup</t>
        </is>
      </c>
      <c r="D13" s="11">
        <f>SUMIFS(Data!$M$2:$M$320,Data!$D$2:$D$320,$A12,Data!$A$2:$A$320,"2026-08-03")</f>
        <v/>
      </c>
      <c r="E13" s="11">
        <f>SUMIFS(Data!$M$2:$M$320,Data!$D$2:$D$320,$A12,Data!$A$2:$A$320,"2026-08-10")</f>
        <v/>
      </c>
      <c r="F13" s="11">
        <f>SUMIFS(Data!$M$2:$M$320,Data!$D$2:$D$320,$A12,Data!$A$2:$A$320,"2026-08-17")</f>
        <v/>
      </c>
      <c r="G13" s="11">
        <f>SUMIFS(Data!$M$2:$M$320,Data!$D$2:$D$320,$A12,Data!$A$2:$A$320,"2026-08-24")</f>
        <v/>
      </c>
      <c r="H13" s="11">
        <f>SUMIFS(Data!$M$2:$M$320,Data!$D$2:$D$320,$A12,Data!$A$2:$A$320,"2026-08-31")</f>
        <v/>
      </c>
      <c r="I13" s="11">
        <f>SUMIFS(Data!$M$2:$M$320,Data!$D$2:$D$320,$A12,Data!$A$2:$A$320,"2026-09-07")</f>
        <v/>
      </c>
      <c r="J13" s="11">
        <f>SUMIFS(Data!$M$2:$M$320,Data!$D$2:$D$320,$A12,Data!$A$2:$A$320,"2026-09-14")</f>
        <v/>
      </c>
      <c r="K13" s="11">
        <f>SUM(D13:J13)</f>
        <v/>
      </c>
    </row>
    <row r="14">
      <c r="A14" s="8" t="inlineStr">
        <is>
          <t>Mahnoor</t>
        </is>
      </c>
      <c r="B14" s="8" t="inlineStr">
        <is>
          <t>Chief Design Officer</t>
        </is>
      </c>
      <c r="C14" s="8" t="inlineStr">
        <is>
          <t>Timer total</t>
        </is>
      </c>
      <c r="D14" s="9">
        <f>SUMIFS(Data!$L$2:$L$320,Data!$D$2:$D$320,$A14,Data!$A$2:$A$320,"2026-08-03")</f>
        <v/>
      </c>
      <c r="E14" s="9">
        <f>SUMIFS(Data!$L$2:$L$320,Data!$D$2:$D$320,$A14,Data!$A$2:$A$320,"2026-08-10")</f>
        <v/>
      </c>
      <c r="F14" s="9">
        <f>SUMIFS(Data!$L$2:$L$320,Data!$D$2:$D$320,$A14,Data!$A$2:$A$320,"2026-08-17")</f>
        <v/>
      </c>
      <c r="G14" s="9">
        <f>SUMIFS(Data!$L$2:$L$320,Data!$D$2:$D$320,$A14,Data!$A$2:$A$320,"2026-08-24")</f>
        <v/>
      </c>
      <c r="H14" s="9">
        <f>SUMIFS(Data!$L$2:$L$320,Data!$D$2:$D$320,$A14,Data!$A$2:$A$320,"2026-08-31")</f>
        <v/>
      </c>
      <c r="I14" s="9">
        <f>SUMIFS(Data!$L$2:$L$320,Data!$D$2:$D$320,$A14,Data!$A$2:$A$320,"2026-09-07")</f>
        <v/>
      </c>
      <c r="J14" s="9">
        <f>SUMIFS(Data!$L$2:$L$320,Data!$D$2:$D$320,$A14,Data!$A$2:$A$320,"2026-09-14")</f>
        <v/>
      </c>
      <c r="K14" s="9">
        <f>SUM(D14:J14)</f>
        <v/>
      </c>
    </row>
    <row r="15">
      <c r="A15" s="10" t="inlineStr"/>
      <c r="B15" s="10" t="inlineStr"/>
      <c r="C15" s="10" t="inlineStr">
        <is>
          <t>Standup</t>
        </is>
      </c>
      <c r="D15" s="11">
        <f>SUMIFS(Data!$M$2:$M$320,Data!$D$2:$D$320,$A14,Data!$A$2:$A$320,"2026-08-03")</f>
        <v/>
      </c>
      <c r="E15" s="11">
        <f>SUMIFS(Data!$M$2:$M$320,Data!$D$2:$D$320,$A14,Data!$A$2:$A$320,"2026-08-10")</f>
        <v/>
      </c>
      <c r="F15" s="11">
        <f>SUMIFS(Data!$M$2:$M$320,Data!$D$2:$D$320,$A14,Data!$A$2:$A$320,"2026-08-17")</f>
        <v/>
      </c>
      <c r="G15" s="11">
        <f>SUMIFS(Data!$M$2:$M$320,Data!$D$2:$D$320,$A14,Data!$A$2:$A$320,"2026-08-24")</f>
        <v/>
      </c>
      <c r="H15" s="11">
        <f>SUMIFS(Data!$M$2:$M$320,Data!$D$2:$D$320,$A14,Data!$A$2:$A$320,"2026-08-31")</f>
        <v/>
      </c>
      <c r="I15" s="11">
        <f>SUMIFS(Data!$M$2:$M$320,Data!$D$2:$D$320,$A14,Data!$A$2:$A$320,"2026-09-07")</f>
        <v/>
      </c>
      <c r="J15" s="11">
        <f>SUMIFS(Data!$M$2:$M$320,Data!$D$2:$D$320,$A14,Data!$A$2:$A$320,"2026-09-14")</f>
        <v/>
      </c>
      <c r="K15" s="11">
        <f>SUM(D15:J15)</f>
        <v/>
      </c>
    </row>
    <row r="16">
      <c r="A16" s="8" t="inlineStr">
        <is>
          <t>Mahnoor Khalid</t>
        </is>
      </c>
      <c r="B16" s="8" t="inlineStr">
        <is>
          <t>Digital Marketing Executive</t>
        </is>
      </c>
      <c r="C16" s="8" t="inlineStr">
        <is>
          <t>Timer total</t>
        </is>
      </c>
      <c r="D16" s="9">
        <f>SUMIFS(Data!$L$2:$L$320,Data!$D$2:$D$320,$A16,Data!$A$2:$A$320,"2026-08-03")</f>
        <v/>
      </c>
      <c r="E16" s="9">
        <f>SUMIFS(Data!$L$2:$L$320,Data!$D$2:$D$320,$A16,Data!$A$2:$A$320,"2026-08-10")</f>
        <v/>
      </c>
      <c r="F16" s="9">
        <f>SUMIFS(Data!$L$2:$L$320,Data!$D$2:$D$320,$A16,Data!$A$2:$A$320,"2026-08-17")</f>
        <v/>
      </c>
      <c r="G16" s="9">
        <f>SUMIFS(Data!$L$2:$L$320,Data!$D$2:$D$320,$A16,Data!$A$2:$A$320,"2026-08-24")</f>
        <v/>
      </c>
      <c r="H16" s="9">
        <f>SUMIFS(Data!$L$2:$L$320,Data!$D$2:$D$320,$A16,Data!$A$2:$A$320,"2026-08-31")</f>
        <v/>
      </c>
      <c r="I16" s="9">
        <f>SUMIFS(Data!$L$2:$L$320,Data!$D$2:$D$320,$A16,Data!$A$2:$A$320,"2026-09-07")</f>
        <v/>
      </c>
      <c r="J16" s="9">
        <f>SUMIFS(Data!$L$2:$L$320,Data!$D$2:$D$320,$A16,Data!$A$2:$A$320,"2026-09-14")</f>
        <v/>
      </c>
      <c r="K16" s="9">
        <f>SUM(D16:J16)</f>
        <v/>
      </c>
    </row>
    <row r="17">
      <c r="A17" s="10" t="inlineStr"/>
      <c r="B17" s="10" t="inlineStr"/>
      <c r="C17" s="10" t="inlineStr">
        <is>
          <t>Standup</t>
        </is>
      </c>
      <c r="D17" s="11">
        <f>SUMIFS(Data!$M$2:$M$320,Data!$D$2:$D$320,$A16,Data!$A$2:$A$320,"2026-08-03")</f>
        <v/>
      </c>
      <c r="E17" s="11">
        <f>SUMIFS(Data!$M$2:$M$320,Data!$D$2:$D$320,$A16,Data!$A$2:$A$320,"2026-08-10")</f>
        <v/>
      </c>
      <c r="F17" s="11">
        <f>SUMIFS(Data!$M$2:$M$320,Data!$D$2:$D$320,$A16,Data!$A$2:$A$320,"2026-08-17")</f>
        <v/>
      </c>
      <c r="G17" s="11">
        <f>SUMIFS(Data!$M$2:$M$320,Data!$D$2:$D$320,$A16,Data!$A$2:$A$320,"2026-08-24")</f>
        <v/>
      </c>
      <c r="H17" s="11">
        <f>SUMIFS(Data!$M$2:$M$320,Data!$D$2:$D$320,$A16,Data!$A$2:$A$320,"2026-08-31")</f>
        <v/>
      </c>
      <c r="I17" s="11">
        <f>SUMIFS(Data!$M$2:$M$320,Data!$D$2:$D$320,$A16,Data!$A$2:$A$320,"2026-09-07")</f>
        <v/>
      </c>
      <c r="J17" s="11">
        <f>SUMIFS(Data!$M$2:$M$320,Data!$D$2:$D$320,$A16,Data!$A$2:$A$320,"2026-09-14")</f>
        <v/>
      </c>
      <c r="K17" s="11">
        <f>SUM(D17:J17)</f>
        <v/>
      </c>
    </row>
    <row r="18">
      <c r="A18" s="8" t="inlineStr">
        <is>
          <t>Muhammad Yahya</t>
        </is>
      </c>
      <c r="B18" s="8" t="inlineStr">
        <is>
          <t>Software Engineer I</t>
        </is>
      </c>
      <c r="C18" s="8" t="inlineStr">
        <is>
          <t>Timer total</t>
        </is>
      </c>
      <c r="D18" s="9">
        <f>SUMIFS(Data!$L$2:$L$320,Data!$D$2:$D$320,$A18,Data!$A$2:$A$320,"2026-08-03")</f>
        <v/>
      </c>
      <c r="E18" s="9">
        <f>SUMIFS(Data!$L$2:$L$320,Data!$D$2:$D$320,$A18,Data!$A$2:$A$320,"2026-08-10")</f>
        <v/>
      </c>
      <c r="F18" s="9">
        <f>SUMIFS(Data!$L$2:$L$320,Data!$D$2:$D$320,$A18,Data!$A$2:$A$320,"2026-08-17")</f>
        <v/>
      </c>
      <c r="G18" s="9">
        <f>SUMIFS(Data!$L$2:$L$320,Data!$D$2:$D$320,$A18,Data!$A$2:$A$320,"2026-08-24")</f>
        <v/>
      </c>
      <c r="H18" s="9">
        <f>SUMIFS(Data!$L$2:$L$320,Data!$D$2:$D$320,$A18,Data!$A$2:$A$320,"2026-08-31")</f>
        <v/>
      </c>
      <c r="I18" s="9">
        <f>SUMIFS(Data!$L$2:$L$320,Data!$D$2:$D$320,$A18,Data!$A$2:$A$320,"2026-09-07")</f>
        <v/>
      </c>
      <c r="J18" s="9">
        <f>SUMIFS(Data!$L$2:$L$320,Data!$D$2:$D$320,$A18,Data!$A$2:$A$320,"2026-09-14")</f>
        <v/>
      </c>
      <c r="K18" s="9">
        <f>SUM(D18:J18)</f>
        <v/>
      </c>
    </row>
    <row r="19">
      <c r="A19" s="10" t="inlineStr"/>
      <c r="B19" s="10" t="inlineStr"/>
      <c r="C19" s="10" t="inlineStr">
        <is>
          <t>Standup</t>
        </is>
      </c>
      <c r="D19" s="11">
        <f>SUMIFS(Data!$M$2:$M$320,Data!$D$2:$D$320,$A18,Data!$A$2:$A$320,"2026-08-03")</f>
        <v/>
      </c>
      <c r="E19" s="11">
        <f>SUMIFS(Data!$M$2:$M$320,Data!$D$2:$D$320,$A18,Data!$A$2:$A$320,"2026-08-10")</f>
        <v/>
      </c>
      <c r="F19" s="11">
        <f>SUMIFS(Data!$M$2:$M$320,Data!$D$2:$D$320,$A18,Data!$A$2:$A$320,"2026-08-17")</f>
        <v/>
      </c>
      <c r="G19" s="11">
        <f>SUMIFS(Data!$M$2:$M$320,Data!$D$2:$D$320,$A18,Data!$A$2:$A$320,"2026-08-24")</f>
        <v/>
      </c>
      <c r="H19" s="11">
        <f>SUMIFS(Data!$M$2:$M$320,Data!$D$2:$D$320,$A18,Data!$A$2:$A$320,"2026-08-31")</f>
        <v/>
      </c>
      <c r="I19" s="11">
        <f>SUMIFS(Data!$M$2:$M$320,Data!$D$2:$D$320,$A18,Data!$A$2:$A$320,"2026-09-07")</f>
        <v/>
      </c>
      <c r="J19" s="11">
        <f>SUMIFS(Data!$M$2:$M$320,Data!$D$2:$D$320,$A18,Data!$A$2:$A$320,"2026-09-14")</f>
        <v/>
      </c>
      <c r="K19" s="11">
        <f>SUM(D19:J19)</f>
        <v/>
      </c>
    </row>
    <row r="20">
      <c r="A20" s="8" t="inlineStr">
        <is>
          <t>Noor Shahid</t>
        </is>
      </c>
      <c r="B20" s="8" t="inlineStr">
        <is>
          <t>Chief Marketing Officer</t>
        </is>
      </c>
      <c r="C20" s="8" t="inlineStr">
        <is>
          <t>Timer total</t>
        </is>
      </c>
      <c r="D20" s="9">
        <f>SUMIFS(Data!$L$2:$L$320,Data!$D$2:$D$320,$A20,Data!$A$2:$A$320,"2026-08-03")</f>
        <v/>
      </c>
      <c r="E20" s="9">
        <f>SUMIFS(Data!$L$2:$L$320,Data!$D$2:$D$320,$A20,Data!$A$2:$A$320,"2026-08-10")</f>
        <v/>
      </c>
      <c r="F20" s="9">
        <f>SUMIFS(Data!$L$2:$L$320,Data!$D$2:$D$320,$A20,Data!$A$2:$A$320,"2026-08-17")</f>
        <v/>
      </c>
      <c r="G20" s="9">
        <f>SUMIFS(Data!$L$2:$L$320,Data!$D$2:$D$320,$A20,Data!$A$2:$A$320,"2026-08-24")</f>
        <v/>
      </c>
      <c r="H20" s="9">
        <f>SUMIFS(Data!$L$2:$L$320,Data!$D$2:$D$320,$A20,Data!$A$2:$A$320,"2026-08-31")</f>
        <v/>
      </c>
      <c r="I20" s="9">
        <f>SUMIFS(Data!$L$2:$L$320,Data!$D$2:$D$320,$A20,Data!$A$2:$A$320,"2026-09-07")</f>
        <v/>
      </c>
      <c r="J20" s="9">
        <f>SUMIFS(Data!$L$2:$L$320,Data!$D$2:$D$320,$A20,Data!$A$2:$A$320,"2026-09-14")</f>
        <v/>
      </c>
      <c r="K20" s="9">
        <f>SUM(D20:J20)</f>
        <v/>
      </c>
    </row>
    <row r="21">
      <c r="A21" s="10" t="inlineStr"/>
      <c r="B21" s="10" t="inlineStr"/>
      <c r="C21" s="10" t="inlineStr">
        <is>
          <t>Standup</t>
        </is>
      </c>
      <c r="D21" s="11">
        <f>SUMIFS(Data!$M$2:$M$320,Data!$D$2:$D$320,$A20,Data!$A$2:$A$320,"2026-08-03")</f>
        <v/>
      </c>
      <c r="E21" s="11">
        <f>SUMIFS(Data!$M$2:$M$320,Data!$D$2:$D$320,$A20,Data!$A$2:$A$320,"2026-08-10")</f>
        <v/>
      </c>
      <c r="F21" s="11">
        <f>SUMIFS(Data!$M$2:$M$320,Data!$D$2:$D$320,$A20,Data!$A$2:$A$320,"2026-08-17")</f>
        <v/>
      </c>
      <c r="G21" s="11">
        <f>SUMIFS(Data!$M$2:$M$320,Data!$D$2:$D$320,$A20,Data!$A$2:$A$320,"2026-08-24")</f>
        <v/>
      </c>
      <c r="H21" s="11">
        <f>SUMIFS(Data!$M$2:$M$320,Data!$D$2:$D$320,$A20,Data!$A$2:$A$320,"2026-08-31")</f>
        <v/>
      </c>
      <c r="I21" s="11">
        <f>SUMIFS(Data!$M$2:$M$320,Data!$D$2:$D$320,$A20,Data!$A$2:$A$320,"2026-09-07")</f>
        <v/>
      </c>
      <c r="J21" s="11">
        <f>SUMIFS(Data!$M$2:$M$320,Data!$D$2:$D$320,$A20,Data!$A$2:$A$320,"2026-09-14")</f>
        <v/>
      </c>
      <c r="K21" s="11">
        <f>SUM(D21:J21)</f>
        <v/>
      </c>
    </row>
    <row r="22">
      <c r="A22" s="8" t="inlineStr">
        <is>
          <t>Saif Ullah</t>
        </is>
      </c>
      <c r="B22" s="8" t="inlineStr">
        <is>
          <t>Chief Operations Officer</t>
        </is>
      </c>
      <c r="C22" s="8" t="inlineStr">
        <is>
          <t>Timer total</t>
        </is>
      </c>
      <c r="D22" s="9">
        <f>SUMIFS(Data!$L$2:$L$320,Data!$D$2:$D$320,$A22,Data!$A$2:$A$320,"2026-08-03")</f>
        <v/>
      </c>
      <c r="E22" s="9">
        <f>SUMIFS(Data!$L$2:$L$320,Data!$D$2:$D$320,$A22,Data!$A$2:$A$320,"2026-08-10")</f>
        <v/>
      </c>
      <c r="F22" s="9">
        <f>SUMIFS(Data!$L$2:$L$320,Data!$D$2:$D$320,$A22,Data!$A$2:$A$320,"2026-08-17")</f>
        <v/>
      </c>
      <c r="G22" s="9">
        <f>SUMIFS(Data!$L$2:$L$320,Data!$D$2:$D$320,$A22,Data!$A$2:$A$320,"2026-08-24")</f>
        <v/>
      </c>
      <c r="H22" s="9">
        <f>SUMIFS(Data!$L$2:$L$320,Data!$D$2:$D$320,$A22,Data!$A$2:$A$320,"2026-08-31")</f>
        <v/>
      </c>
      <c r="I22" s="9">
        <f>SUMIFS(Data!$L$2:$L$320,Data!$D$2:$D$320,$A22,Data!$A$2:$A$320,"2026-09-07")</f>
        <v/>
      </c>
      <c r="J22" s="9">
        <f>SUMIFS(Data!$L$2:$L$320,Data!$D$2:$D$320,$A22,Data!$A$2:$A$320,"2026-09-14")</f>
        <v/>
      </c>
      <c r="K22" s="9">
        <f>SUM(D22:J22)</f>
        <v/>
      </c>
    </row>
    <row r="23">
      <c r="A23" s="10" t="inlineStr"/>
      <c r="B23" s="10" t="inlineStr"/>
      <c r="C23" s="10" t="inlineStr">
        <is>
          <t>Standup</t>
        </is>
      </c>
      <c r="D23" s="11">
        <f>SUMIFS(Data!$M$2:$M$320,Data!$D$2:$D$320,$A22,Data!$A$2:$A$320,"2026-08-03")</f>
        <v/>
      </c>
      <c r="E23" s="11">
        <f>SUMIFS(Data!$M$2:$M$320,Data!$D$2:$D$320,$A22,Data!$A$2:$A$320,"2026-08-10")</f>
        <v/>
      </c>
      <c r="F23" s="11">
        <f>SUMIFS(Data!$M$2:$M$320,Data!$D$2:$D$320,$A22,Data!$A$2:$A$320,"2026-08-17")</f>
        <v/>
      </c>
      <c r="G23" s="11">
        <f>SUMIFS(Data!$M$2:$M$320,Data!$D$2:$D$320,$A22,Data!$A$2:$A$320,"2026-08-24")</f>
        <v/>
      </c>
      <c r="H23" s="11">
        <f>SUMIFS(Data!$M$2:$M$320,Data!$D$2:$D$320,$A22,Data!$A$2:$A$320,"2026-08-31")</f>
        <v/>
      </c>
      <c r="I23" s="11">
        <f>SUMIFS(Data!$M$2:$M$320,Data!$D$2:$D$320,$A22,Data!$A$2:$A$320,"2026-09-07")</f>
        <v/>
      </c>
      <c r="J23" s="11">
        <f>SUMIFS(Data!$M$2:$M$320,Data!$D$2:$D$320,$A22,Data!$A$2:$A$320,"2026-09-14")</f>
        <v/>
      </c>
      <c r="K23" s="11">
        <f>SUM(D23:J23)</f>
        <v/>
      </c>
    </row>
    <row r="24">
      <c r="A24" s="8" t="inlineStr">
        <is>
          <t>Sajawal Khan</t>
        </is>
      </c>
      <c r="B24" s="8" t="inlineStr">
        <is>
          <t>Web Content Specialist</t>
        </is>
      </c>
      <c r="C24" s="8" t="inlineStr">
        <is>
          <t>Timer total</t>
        </is>
      </c>
      <c r="D24" s="9">
        <f>SUMIFS(Data!$L$2:$L$320,Data!$D$2:$D$320,$A24,Data!$A$2:$A$320,"2026-08-03")</f>
        <v/>
      </c>
      <c r="E24" s="9">
        <f>SUMIFS(Data!$L$2:$L$320,Data!$D$2:$D$320,$A24,Data!$A$2:$A$320,"2026-08-10")</f>
        <v/>
      </c>
      <c r="F24" s="9">
        <f>SUMIFS(Data!$L$2:$L$320,Data!$D$2:$D$320,$A24,Data!$A$2:$A$320,"2026-08-17")</f>
        <v/>
      </c>
      <c r="G24" s="9">
        <f>SUMIFS(Data!$L$2:$L$320,Data!$D$2:$D$320,$A24,Data!$A$2:$A$320,"2026-08-24")</f>
        <v/>
      </c>
      <c r="H24" s="9">
        <f>SUMIFS(Data!$L$2:$L$320,Data!$D$2:$D$320,$A24,Data!$A$2:$A$320,"2026-08-31")</f>
        <v/>
      </c>
      <c r="I24" s="9">
        <f>SUMIFS(Data!$L$2:$L$320,Data!$D$2:$D$320,$A24,Data!$A$2:$A$320,"2026-09-07")</f>
        <v/>
      </c>
      <c r="J24" s="9">
        <f>SUMIFS(Data!$L$2:$L$320,Data!$D$2:$D$320,$A24,Data!$A$2:$A$320,"2026-09-14")</f>
        <v/>
      </c>
      <c r="K24" s="9">
        <f>SUM(D24:J24)</f>
        <v/>
      </c>
    </row>
    <row r="25">
      <c r="A25" s="10" t="inlineStr"/>
      <c r="B25" s="10" t="inlineStr"/>
      <c r="C25" s="10" t="inlineStr">
        <is>
          <t>Standup</t>
        </is>
      </c>
      <c r="D25" s="11">
        <f>SUMIFS(Data!$M$2:$M$320,Data!$D$2:$D$320,$A24,Data!$A$2:$A$320,"2026-08-03")</f>
        <v/>
      </c>
      <c r="E25" s="11">
        <f>SUMIFS(Data!$M$2:$M$320,Data!$D$2:$D$320,$A24,Data!$A$2:$A$320,"2026-08-10")</f>
        <v/>
      </c>
      <c r="F25" s="11">
        <f>SUMIFS(Data!$M$2:$M$320,Data!$D$2:$D$320,$A24,Data!$A$2:$A$320,"2026-08-17")</f>
        <v/>
      </c>
      <c r="G25" s="11">
        <f>SUMIFS(Data!$M$2:$M$320,Data!$D$2:$D$320,$A24,Data!$A$2:$A$320,"2026-08-24")</f>
        <v/>
      </c>
      <c r="H25" s="11">
        <f>SUMIFS(Data!$M$2:$M$320,Data!$D$2:$D$320,$A24,Data!$A$2:$A$320,"2026-08-31")</f>
        <v/>
      </c>
      <c r="I25" s="11">
        <f>SUMIFS(Data!$M$2:$M$320,Data!$D$2:$D$320,$A24,Data!$A$2:$A$320,"2026-09-07")</f>
        <v/>
      </c>
      <c r="J25" s="11">
        <f>SUMIFS(Data!$M$2:$M$320,Data!$D$2:$D$320,$A24,Data!$A$2:$A$320,"2026-09-14")</f>
        <v/>
      </c>
      <c r="K25" s="11">
        <f>SUM(D25:J25)</f>
        <v/>
      </c>
    </row>
    <row r="26">
      <c r="A26" s="8" t="inlineStr">
        <is>
          <t>Yasir birlas</t>
        </is>
      </c>
      <c r="B26" s="8" t="inlineStr">
        <is>
          <t>Digital Marketing Executive</t>
        </is>
      </c>
      <c r="C26" s="8" t="inlineStr">
        <is>
          <t>Timer total</t>
        </is>
      </c>
      <c r="D26" s="9">
        <f>SUMIFS(Data!$L$2:$L$320,Data!$D$2:$D$320,$A26,Data!$A$2:$A$320,"2026-08-03")</f>
        <v/>
      </c>
      <c r="E26" s="9">
        <f>SUMIFS(Data!$L$2:$L$320,Data!$D$2:$D$320,$A26,Data!$A$2:$A$320,"2026-08-10")</f>
        <v/>
      </c>
      <c r="F26" s="9">
        <f>SUMIFS(Data!$L$2:$L$320,Data!$D$2:$D$320,$A26,Data!$A$2:$A$320,"2026-08-17")</f>
        <v/>
      </c>
      <c r="G26" s="9">
        <f>SUMIFS(Data!$L$2:$L$320,Data!$D$2:$D$320,$A26,Data!$A$2:$A$320,"2026-08-24")</f>
        <v/>
      </c>
      <c r="H26" s="9">
        <f>SUMIFS(Data!$L$2:$L$320,Data!$D$2:$D$320,$A26,Data!$A$2:$A$320,"2026-08-31")</f>
        <v/>
      </c>
      <c r="I26" s="9">
        <f>SUMIFS(Data!$L$2:$L$320,Data!$D$2:$D$320,$A26,Data!$A$2:$A$320,"2026-09-07")</f>
        <v/>
      </c>
      <c r="J26" s="9">
        <f>SUMIFS(Data!$L$2:$L$320,Data!$D$2:$D$320,$A26,Data!$A$2:$A$320,"2026-09-14")</f>
        <v/>
      </c>
      <c r="K26" s="9">
        <f>SUM(D26:J26)</f>
        <v/>
      </c>
    </row>
    <row r="27">
      <c r="A27" s="10" t="inlineStr"/>
      <c r="B27" s="10" t="inlineStr"/>
      <c r="C27" s="10" t="inlineStr">
        <is>
          <t>Standup</t>
        </is>
      </c>
      <c r="D27" s="11">
        <f>SUMIFS(Data!$M$2:$M$320,Data!$D$2:$D$320,$A26,Data!$A$2:$A$320,"2026-08-03")</f>
        <v/>
      </c>
      <c r="E27" s="11">
        <f>SUMIFS(Data!$M$2:$M$320,Data!$D$2:$D$320,$A26,Data!$A$2:$A$320,"2026-08-10")</f>
        <v/>
      </c>
      <c r="F27" s="11">
        <f>SUMIFS(Data!$M$2:$M$320,Data!$D$2:$D$320,$A26,Data!$A$2:$A$320,"2026-08-17")</f>
        <v/>
      </c>
      <c r="G27" s="11">
        <f>SUMIFS(Data!$M$2:$M$320,Data!$D$2:$D$320,$A26,Data!$A$2:$A$320,"2026-08-24")</f>
        <v/>
      </c>
      <c r="H27" s="11">
        <f>SUMIFS(Data!$M$2:$M$320,Data!$D$2:$D$320,$A26,Data!$A$2:$A$320,"2026-08-31")</f>
        <v/>
      </c>
      <c r="I27" s="11">
        <f>SUMIFS(Data!$M$2:$M$320,Data!$D$2:$D$320,$A26,Data!$A$2:$A$320,"2026-09-07")</f>
        <v/>
      </c>
      <c r="J27" s="11">
        <f>SUMIFS(Data!$M$2:$M$320,Data!$D$2:$D$320,$A26,Data!$A$2:$A$320,"2026-09-14")</f>
        <v/>
      </c>
      <c r="K27" s="11">
        <f>SUM(D27:J27)</f>
        <v/>
      </c>
    </row>
    <row r="28">
      <c r="A28" s="8" t="inlineStr">
        <is>
          <t>Zain Malik</t>
        </is>
      </c>
      <c r="B28" s="8" t="inlineStr">
        <is>
          <t>Software Engineer II</t>
        </is>
      </c>
      <c r="C28" s="8" t="inlineStr">
        <is>
          <t>Timer total</t>
        </is>
      </c>
      <c r="D28" s="9">
        <f>SUMIFS(Data!$L$2:$L$320,Data!$D$2:$D$320,$A28,Data!$A$2:$A$320,"2026-08-03")</f>
        <v/>
      </c>
      <c r="E28" s="9">
        <f>SUMIFS(Data!$L$2:$L$320,Data!$D$2:$D$320,$A28,Data!$A$2:$A$320,"2026-08-10")</f>
        <v/>
      </c>
      <c r="F28" s="9">
        <f>SUMIFS(Data!$L$2:$L$320,Data!$D$2:$D$320,$A28,Data!$A$2:$A$320,"2026-08-17")</f>
        <v/>
      </c>
      <c r="G28" s="9">
        <f>SUMIFS(Data!$L$2:$L$320,Data!$D$2:$D$320,$A28,Data!$A$2:$A$320,"2026-08-24")</f>
        <v/>
      </c>
      <c r="H28" s="9">
        <f>SUMIFS(Data!$L$2:$L$320,Data!$D$2:$D$320,$A28,Data!$A$2:$A$320,"2026-08-31")</f>
        <v/>
      </c>
      <c r="I28" s="9">
        <f>SUMIFS(Data!$L$2:$L$320,Data!$D$2:$D$320,$A28,Data!$A$2:$A$320,"2026-09-07")</f>
        <v/>
      </c>
      <c r="J28" s="9">
        <f>SUMIFS(Data!$L$2:$L$320,Data!$D$2:$D$320,$A28,Data!$A$2:$A$320,"2026-09-14")</f>
        <v/>
      </c>
      <c r="K28" s="9">
        <f>SUM(D28:J28)</f>
        <v/>
      </c>
    </row>
    <row r="29">
      <c r="A29" s="10" t="inlineStr"/>
      <c r="B29" s="10" t="inlineStr"/>
      <c r="C29" s="10" t="inlineStr">
        <is>
          <t>Standup</t>
        </is>
      </c>
      <c r="D29" s="11">
        <f>SUMIFS(Data!$M$2:$M$320,Data!$D$2:$D$320,$A28,Data!$A$2:$A$320,"2026-08-03")</f>
        <v/>
      </c>
      <c r="E29" s="11">
        <f>SUMIFS(Data!$M$2:$M$320,Data!$D$2:$D$320,$A28,Data!$A$2:$A$320,"2026-08-10")</f>
        <v/>
      </c>
      <c r="F29" s="11">
        <f>SUMIFS(Data!$M$2:$M$320,Data!$D$2:$D$320,$A28,Data!$A$2:$A$320,"2026-08-17")</f>
        <v/>
      </c>
      <c r="G29" s="11">
        <f>SUMIFS(Data!$M$2:$M$320,Data!$D$2:$D$320,$A28,Data!$A$2:$A$320,"2026-08-24")</f>
        <v/>
      </c>
      <c r="H29" s="11">
        <f>SUMIFS(Data!$M$2:$M$320,Data!$D$2:$D$320,$A28,Data!$A$2:$A$320,"2026-08-31")</f>
        <v/>
      </c>
      <c r="I29" s="11">
        <f>SUMIFS(Data!$M$2:$M$320,Data!$D$2:$D$320,$A28,Data!$A$2:$A$320,"2026-09-07")</f>
        <v/>
      </c>
      <c r="J29" s="11">
        <f>SUMIFS(Data!$M$2:$M$320,Data!$D$2:$D$320,$A28,Data!$A$2:$A$320,"2026-09-14")</f>
        <v/>
      </c>
      <c r="K29" s="11">
        <f>SUM(D29:J29)</f>
        <v/>
      </c>
    </row>
    <row r="30">
      <c r="A30" s="8" t="inlineStr">
        <is>
          <t>khizer hayat</t>
        </is>
      </c>
      <c r="B30" s="8" t="inlineStr">
        <is>
          <t>CMS Developer</t>
        </is>
      </c>
      <c r="C30" s="8" t="inlineStr">
        <is>
          <t>Timer total</t>
        </is>
      </c>
      <c r="D30" s="9">
        <f>SUMIFS(Data!$L$2:$L$320,Data!$D$2:$D$320,$A30,Data!$A$2:$A$320,"2026-08-03")</f>
        <v/>
      </c>
      <c r="E30" s="9">
        <f>SUMIFS(Data!$L$2:$L$320,Data!$D$2:$D$320,$A30,Data!$A$2:$A$320,"2026-08-10")</f>
        <v/>
      </c>
      <c r="F30" s="9">
        <f>SUMIFS(Data!$L$2:$L$320,Data!$D$2:$D$320,$A30,Data!$A$2:$A$320,"2026-08-17")</f>
        <v/>
      </c>
      <c r="G30" s="9">
        <f>SUMIFS(Data!$L$2:$L$320,Data!$D$2:$D$320,$A30,Data!$A$2:$A$320,"2026-08-24")</f>
        <v/>
      </c>
      <c r="H30" s="9">
        <f>SUMIFS(Data!$L$2:$L$320,Data!$D$2:$D$320,$A30,Data!$A$2:$A$320,"2026-08-31")</f>
        <v/>
      </c>
      <c r="I30" s="9">
        <f>SUMIFS(Data!$L$2:$L$320,Data!$D$2:$D$320,$A30,Data!$A$2:$A$320,"2026-09-07")</f>
        <v/>
      </c>
      <c r="J30" s="9">
        <f>SUMIFS(Data!$L$2:$L$320,Data!$D$2:$D$320,$A30,Data!$A$2:$A$320,"2026-09-14")</f>
        <v/>
      </c>
      <c r="K30" s="9">
        <f>SUM(D30:J30)</f>
        <v/>
      </c>
    </row>
    <row r="31">
      <c r="A31" s="10" t="inlineStr"/>
      <c r="B31" s="10" t="inlineStr"/>
      <c r="C31" s="10" t="inlineStr">
        <is>
          <t>Standup</t>
        </is>
      </c>
      <c r="D31" s="11">
        <f>SUMIFS(Data!$M$2:$M$320,Data!$D$2:$D$320,$A30,Data!$A$2:$A$320,"2026-08-03")</f>
        <v/>
      </c>
      <c r="E31" s="11">
        <f>SUMIFS(Data!$M$2:$M$320,Data!$D$2:$D$320,$A30,Data!$A$2:$A$320,"2026-08-10")</f>
        <v/>
      </c>
      <c r="F31" s="11">
        <f>SUMIFS(Data!$M$2:$M$320,Data!$D$2:$D$320,$A30,Data!$A$2:$A$320,"2026-08-17")</f>
        <v/>
      </c>
      <c r="G31" s="11">
        <f>SUMIFS(Data!$M$2:$M$320,Data!$D$2:$D$320,$A30,Data!$A$2:$A$320,"2026-08-24")</f>
        <v/>
      </c>
      <c r="H31" s="11">
        <f>SUMIFS(Data!$M$2:$M$320,Data!$D$2:$D$320,$A30,Data!$A$2:$A$320,"2026-08-31")</f>
        <v/>
      </c>
      <c r="I31" s="11">
        <f>SUMIFS(Data!$M$2:$M$320,Data!$D$2:$D$320,$A30,Data!$A$2:$A$320,"2026-09-07")</f>
        <v/>
      </c>
      <c r="J31" s="11">
        <f>SUMIFS(Data!$M$2:$M$320,Data!$D$2:$D$320,$A30,Data!$A$2:$A$320,"2026-09-14")</f>
        <v/>
      </c>
      <c r="K31" s="11">
        <f>SUM(D31:J31)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20" customWidth="1" min="4" max="4"/>
    <col width="22" customWidth="1" min="5" max="5"/>
    <col width="20" customWidth="1" min="6" max="6"/>
    <col width="34" customWidth="1" min="7" max="7"/>
    <col width="52" customWidth="1" min="8" max="8"/>
    <col width="12" customWidth="1" min="9" max="9"/>
    <col width="9" customWidth="1" min="10" max="10"/>
    <col width="9" customWidth="1" min="11" max="11"/>
    <col width="11" customWidth="1" min="12" max="12"/>
    <col width="10" customWidth="1" min="13" max="13"/>
  </cols>
  <sheetData>
    <row r="1" ht="30" customHeight="1">
      <c r="A1" s="7" t="inlineStr">
        <is>
          <t>Week Start</t>
        </is>
      </c>
      <c r="B1" s="7" t="inlineStr">
        <is>
          <t>Week</t>
        </is>
      </c>
      <c r="C1" s="7" t="inlineStr">
        <is>
          <t>Service</t>
        </is>
      </c>
      <c r="D1" s="7" t="inlineStr">
        <is>
          <t>Developer</t>
        </is>
      </c>
      <c r="E1" s="7" t="inlineStr">
        <is>
          <t>Designation</t>
        </is>
      </c>
      <c r="F1" s="7" t="inlineStr">
        <is>
          <t>Project</t>
        </is>
      </c>
      <c r="G1" s="7" t="inlineStr">
        <is>
          <t>Task</t>
        </is>
      </c>
      <c r="H1" s="7" t="inlineStr">
        <is>
          <t>What it means (plain English)</t>
        </is>
      </c>
      <c r="I1" s="7" t="inlineStr">
        <is>
          <t>Status</t>
        </is>
      </c>
      <c r="J1" s="7" t="inlineStr">
        <is>
          <t>Timer h</t>
        </is>
      </c>
      <c r="K1" s="7" t="inlineStr">
        <is>
          <t>Manual h</t>
        </is>
      </c>
      <c r="L1" s="7" t="inlineStr">
        <is>
          <t>Timer total h</t>
        </is>
      </c>
      <c r="M1" s="7" t="inlineStr">
        <is>
          <t>Standup h</t>
        </is>
      </c>
    </row>
    <row r="2">
      <c r="A2" s="14" t="inlineStr">
        <is>
          <t>2026-08-03</t>
        </is>
      </c>
      <c r="B2" s="14" t="inlineStr">
        <is>
          <t>Wk1  03 Aug–09 Aug</t>
        </is>
      </c>
      <c r="C2" s="14" t="inlineStr">
        <is>
          <t>(not linked to a task)</t>
        </is>
      </c>
      <c r="D2" s="14" t="inlineStr">
        <is>
          <t>Abbas Khan</t>
        </is>
      </c>
      <c r="E2" s="14" t="inlineStr">
        <is>
          <t>CMS Developer and UI/UX Designer</t>
        </is>
      </c>
      <c r="F2" s="14" t="inlineStr">
        <is>
          <t>—</t>
        </is>
      </c>
      <c r="G2" s="15" t="inlineStr">
        <is>
          <t>Zedan</t>
        </is>
      </c>
      <c r="H2" s="15" t="inlineStr">
        <is>
          <t>General ongoing work on the Zedan shoe brand store.</t>
        </is>
      </c>
      <c r="I2" s="14" t="inlineStr">
        <is>
          <t>—</t>
        </is>
      </c>
      <c r="J2" s="9" t="n">
        <v>0</v>
      </c>
      <c r="K2" s="9" t="n">
        <v>0</v>
      </c>
      <c r="L2" s="9">
        <f>J2+K2</f>
        <v/>
      </c>
      <c r="M2" s="9" t="n">
        <v>1.208333333333333</v>
      </c>
    </row>
    <row r="3">
      <c r="A3" s="14" t="inlineStr">
        <is>
          <t>2026-08-03</t>
        </is>
      </c>
      <c r="B3" s="14" t="inlineStr">
        <is>
          <t>Wk1  03 Aug–09 Aug</t>
        </is>
      </c>
      <c r="C3" s="14" t="inlineStr">
        <is>
          <t>(not linked to a task)</t>
        </is>
      </c>
      <c r="D3" s="14" t="inlineStr">
        <is>
          <t>Atta Ul Mustafa Saad</t>
        </is>
      </c>
      <c r="E3" s="14" t="inlineStr">
        <is>
          <t>UI/UX Designer</t>
        </is>
      </c>
      <c r="F3" s="14" t="inlineStr">
        <is>
          <t>—</t>
        </is>
      </c>
      <c r="G3" s="15" t="inlineStr">
        <is>
          <t>UV Sample book</t>
        </is>
      </c>
      <c r="H3" s="15" t="inlineStr">
        <is>
          <t>Producing the UV sample book artwork.</t>
        </is>
      </c>
      <c r="I3" s="14" t="inlineStr">
        <is>
          <t>—</t>
        </is>
      </c>
      <c r="J3" s="9" t="n">
        <v>0</v>
      </c>
      <c r="K3" s="9" t="n">
        <v>0</v>
      </c>
      <c r="L3" s="9">
        <f>J3+K3</f>
        <v/>
      </c>
      <c r="M3" s="9" t="n">
        <v>0.8125</v>
      </c>
    </row>
    <row r="4">
      <c r="A4" s="14" t="inlineStr">
        <is>
          <t>2026-08-03</t>
        </is>
      </c>
      <c r="B4" s="14" t="inlineStr">
        <is>
          <t>Wk1  03 Aug–09 Aug</t>
        </is>
      </c>
      <c r="C4" s="14" t="inlineStr">
        <is>
          <t>(not linked to a task)</t>
        </is>
      </c>
      <c r="D4" s="14" t="inlineStr">
        <is>
          <t>Maaz Tareen</t>
        </is>
      </c>
      <c r="E4" s="14" t="inlineStr">
        <is>
          <t>UI/UX Designer</t>
        </is>
      </c>
      <c r="F4" s="14" t="inlineStr">
        <is>
          <t>—</t>
        </is>
      </c>
      <c r="G4" s="15" t="inlineStr">
        <is>
          <t>Zedan</t>
        </is>
      </c>
      <c r="H4" s="15" t="inlineStr">
        <is>
          <t>General ongoing work on the Zedan shoe brand store.</t>
        </is>
      </c>
      <c r="I4" s="14" t="inlineStr">
        <is>
          <t>—</t>
        </is>
      </c>
      <c r="J4" s="9" t="n">
        <v>0</v>
      </c>
      <c r="K4" s="9" t="n">
        <v>0</v>
      </c>
      <c r="L4" s="9">
        <f>J4+K4</f>
        <v/>
      </c>
      <c r="M4" s="9" t="n">
        <v>1.197916666666667</v>
      </c>
    </row>
    <row r="5">
      <c r="A5" s="14" t="inlineStr">
        <is>
          <t>2026-08-03</t>
        </is>
      </c>
      <c r="B5" s="14" t="inlineStr">
        <is>
          <t>Wk1  03 Aug–09 Aug</t>
        </is>
      </c>
      <c r="C5" s="14" t="inlineStr">
        <is>
          <t>(not linked to a task)</t>
        </is>
      </c>
      <c r="D5" s="14" t="inlineStr">
        <is>
          <t>Muhammad Yahya</t>
        </is>
      </c>
      <c r="E5" s="14" t="inlineStr">
        <is>
          <t>Software Engineer I</t>
        </is>
      </c>
      <c r="F5" s="14" t="inlineStr">
        <is>
          <t>—</t>
        </is>
      </c>
      <c r="G5" s="15" t="inlineStr">
        <is>
          <t>Zedan website Design &amp; Dev</t>
        </is>
      </c>
      <c r="H5" s="15" t="inlineStr">
        <is>
          <t>Designing and building the Zedan website.</t>
        </is>
      </c>
      <c r="I5" s="14" t="inlineStr">
        <is>
          <t>—</t>
        </is>
      </c>
      <c r="J5" s="9" t="n">
        <v>0</v>
      </c>
      <c r="K5" s="9" t="n">
        <v>0</v>
      </c>
      <c r="L5" s="9">
        <f>J5+K5</f>
        <v/>
      </c>
      <c r="M5" s="9" t="n">
        <v>1.291666666666667</v>
      </c>
    </row>
    <row r="6">
      <c r="A6" s="14" t="inlineStr">
        <is>
          <t>2026-08-03</t>
        </is>
      </c>
      <c r="B6" s="14" t="inlineStr">
        <is>
          <t>Wk1  03 Aug–09 Aug</t>
        </is>
      </c>
      <c r="C6" s="14" t="inlineStr">
        <is>
          <t>(not linked to a task)</t>
        </is>
      </c>
      <c r="D6" s="14" t="inlineStr">
        <is>
          <t>Sajawal Khan</t>
        </is>
      </c>
      <c r="E6" s="14" t="inlineStr">
        <is>
          <t>Web Content Specialist</t>
        </is>
      </c>
      <c r="F6" s="14" t="inlineStr">
        <is>
          <t>—</t>
        </is>
      </c>
      <c r="G6" s="15" t="inlineStr">
        <is>
          <t>Zedan website Design &amp; Dev</t>
        </is>
      </c>
      <c r="H6" s="15" t="inlineStr">
        <is>
          <t>Designing and building the Zedan website.</t>
        </is>
      </c>
      <c r="I6" s="14" t="inlineStr">
        <is>
          <t>—</t>
        </is>
      </c>
      <c r="J6" s="9" t="n">
        <v>0</v>
      </c>
      <c r="K6" s="9" t="n">
        <v>0</v>
      </c>
      <c r="L6" s="9">
        <f>J6+K6</f>
        <v/>
      </c>
      <c r="M6" s="9" t="n">
        <v>0.9375</v>
      </c>
    </row>
    <row r="7">
      <c r="A7" s="14" t="inlineStr">
        <is>
          <t>2026-08-03</t>
        </is>
      </c>
      <c r="B7" s="14" t="inlineStr">
        <is>
          <t>Wk1  03 Aug–09 Aug</t>
        </is>
      </c>
      <c r="C7" s="14" t="inlineStr">
        <is>
          <t>(not linked to a task)</t>
        </is>
      </c>
      <c r="D7" s="14" t="inlineStr">
        <is>
          <t>Yasir birlas</t>
        </is>
      </c>
      <c r="E7" s="14" t="inlineStr">
        <is>
          <t>Digital Marketing Executive</t>
        </is>
      </c>
      <c r="F7" s="14" t="inlineStr">
        <is>
          <t>—</t>
        </is>
      </c>
      <c r="G7" s="15" t="inlineStr">
        <is>
          <t>Neowall</t>
        </is>
      </c>
      <c r="H7" s="15" t="inlineStr">
        <is>
          <t>General ongoing work on the Neowall cladding website.</t>
        </is>
      </c>
      <c r="I7" s="14" t="inlineStr">
        <is>
          <t>—</t>
        </is>
      </c>
      <c r="J7" s="9" t="n">
        <v>0</v>
      </c>
      <c r="K7" s="9" t="n">
        <v>0</v>
      </c>
      <c r="L7" s="9">
        <f>J7+K7</f>
        <v/>
      </c>
      <c r="M7" s="9" t="n">
        <v>0.9965277777777778</v>
      </c>
    </row>
    <row r="8">
      <c r="A8" s="14" t="inlineStr">
        <is>
          <t>2026-08-03</t>
        </is>
      </c>
      <c r="B8" s="14" t="inlineStr">
        <is>
          <t>Wk1  03 Aug–09 Aug</t>
        </is>
      </c>
      <c r="C8" s="14" t="inlineStr">
        <is>
          <t>(not linked to a task)</t>
        </is>
      </c>
      <c r="D8" s="14" t="inlineStr">
        <is>
          <t>Zain Malik</t>
        </is>
      </c>
      <c r="E8" s="14" t="inlineStr">
        <is>
          <t>Software Engineer II</t>
        </is>
      </c>
      <c r="F8" s="14" t="inlineStr">
        <is>
          <t>—</t>
        </is>
      </c>
      <c r="G8" s="15" t="inlineStr">
        <is>
          <t>Linknbit Portal</t>
        </is>
      </c>
      <c r="H8" s="15" t="inlineStr">
        <is>
          <t>Work on our own internal staff portal.</t>
        </is>
      </c>
      <c r="I8" s="14" t="inlineStr">
        <is>
          <t>—</t>
        </is>
      </c>
      <c r="J8" s="9" t="n">
        <v>0</v>
      </c>
      <c r="K8" s="9" t="n">
        <v>0</v>
      </c>
      <c r="L8" s="9">
        <f>J8+K8</f>
        <v/>
      </c>
      <c r="M8" s="9" t="n">
        <v>1</v>
      </c>
    </row>
    <row r="9">
      <c r="A9" s="14" t="inlineStr">
        <is>
          <t>2026-08-03</t>
        </is>
      </c>
      <c r="B9" s="14" t="inlineStr">
        <is>
          <t>Wk1  03 Aug–09 Aug</t>
        </is>
      </c>
      <c r="C9" s="14" t="inlineStr">
        <is>
          <t>(not linked to a task)</t>
        </is>
      </c>
      <c r="D9" s="14" t="inlineStr">
        <is>
          <t>khizer hayat</t>
        </is>
      </c>
      <c r="E9" s="14" t="inlineStr">
        <is>
          <t>CMS Developer</t>
        </is>
      </c>
      <c r="F9" s="14" t="inlineStr">
        <is>
          <t>—</t>
        </is>
      </c>
      <c r="G9" s="15" t="inlineStr">
        <is>
          <t>Zedan website Design &amp; Dev</t>
        </is>
      </c>
      <c r="H9" s="15" t="inlineStr">
        <is>
          <t>Designing and building the Zedan website.</t>
        </is>
      </c>
      <c r="I9" s="14" t="inlineStr">
        <is>
          <t>—</t>
        </is>
      </c>
      <c r="J9" s="9" t="n">
        <v>0</v>
      </c>
      <c r="K9" s="9" t="n">
        <v>0</v>
      </c>
      <c r="L9" s="9">
        <f>J9+K9</f>
        <v/>
      </c>
      <c r="M9" s="9" t="n">
        <v>0.4583333333333333</v>
      </c>
    </row>
    <row r="10">
      <c r="A10" s="14" t="inlineStr">
        <is>
          <t>2026-08-10</t>
        </is>
      </c>
      <c r="B10" s="14" t="inlineStr">
        <is>
          <t>Wk2  10 Aug–16 Aug</t>
        </is>
      </c>
      <c r="C10" s="14" t="inlineStr">
        <is>
          <t>(not linked to a task)</t>
        </is>
      </c>
      <c r="D10" s="14" t="inlineStr">
        <is>
          <t>Abbas Khan</t>
        </is>
      </c>
      <c r="E10" s="14" t="inlineStr">
        <is>
          <t>CMS Developer and UI/UX Designer</t>
        </is>
      </c>
      <c r="F10" s="14" t="inlineStr">
        <is>
          <t>—</t>
        </is>
      </c>
      <c r="G10" s="15" t="inlineStr">
        <is>
          <t>Zedan</t>
        </is>
      </c>
      <c r="H10" s="15" t="inlineStr">
        <is>
          <t>General ongoing work on the Zedan shoe brand store.</t>
        </is>
      </c>
      <c r="I10" s="14" t="inlineStr">
        <is>
          <t>—</t>
        </is>
      </c>
      <c r="J10" s="9" t="n">
        <v>0</v>
      </c>
      <c r="K10" s="9" t="n">
        <v>0</v>
      </c>
      <c r="L10" s="9">
        <f>J10+K10</f>
        <v/>
      </c>
      <c r="M10" s="9" t="n">
        <v>0.25</v>
      </c>
    </row>
    <row r="11">
      <c r="A11" s="14" t="inlineStr">
        <is>
          <t>2026-08-10</t>
        </is>
      </c>
      <c r="B11" s="14" t="inlineStr">
        <is>
          <t>Wk2  10 Aug–16 Aug</t>
        </is>
      </c>
      <c r="C11" s="14" t="inlineStr">
        <is>
          <t>(not linked to a task)</t>
        </is>
      </c>
      <c r="D11" s="14" t="inlineStr">
        <is>
          <t>Atta Ul Mustafa Saad</t>
        </is>
      </c>
      <c r="E11" s="14" t="inlineStr">
        <is>
          <t>UI/UX Designer</t>
        </is>
      </c>
      <c r="F11" s="14" t="inlineStr">
        <is>
          <t>—</t>
        </is>
      </c>
      <c r="G11" s="15" t="inlineStr">
        <is>
          <t>Linknbit</t>
        </is>
      </c>
      <c r="H11" s="15" t="inlineStr">
        <is>
          <t>General ongoing work on our own Linknbit brand and marketing.</t>
        </is>
      </c>
      <c r="I11" s="14" t="inlineStr">
        <is>
          <t>—</t>
        </is>
      </c>
      <c r="J11" s="9" t="n">
        <v>0</v>
      </c>
      <c r="K11" s="9" t="n">
        <v>0</v>
      </c>
      <c r="L11" s="9">
        <f>J11+K11</f>
        <v/>
      </c>
      <c r="M11" s="9" t="n">
        <v>0.1666666666666667</v>
      </c>
    </row>
    <row r="12">
      <c r="A12" s="14" t="inlineStr">
        <is>
          <t>2026-08-10</t>
        </is>
      </c>
      <c r="B12" s="14" t="inlineStr">
        <is>
          <t>Wk2  10 Aug–16 Aug</t>
        </is>
      </c>
      <c r="C12" s="14" t="inlineStr">
        <is>
          <t>(not linked to a task)</t>
        </is>
      </c>
      <c r="D12" s="14" t="inlineStr">
        <is>
          <t>Maaz Tareen</t>
        </is>
      </c>
      <c r="E12" s="14" t="inlineStr">
        <is>
          <t>UI/UX Designer</t>
        </is>
      </c>
      <c r="F12" s="14" t="inlineStr">
        <is>
          <t>—</t>
        </is>
      </c>
      <c r="G12" s="15" t="inlineStr">
        <is>
          <t>Zedan</t>
        </is>
      </c>
      <c r="H12" s="15" t="inlineStr">
        <is>
          <t>General ongoing work on the Zedan shoe brand store.</t>
        </is>
      </c>
      <c r="I12" s="14" t="inlineStr">
        <is>
          <t>—</t>
        </is>
      </c>
      <c r="J12" s="9" t="n">
        <v>0</v>
      </c>
      <c r="K12" s="9" t="n">
        <v>0</v>
      </c>
      <c r="L12" s="9">
        <f>J12+K12</f>
        <v/>
      </c>
      <c r="M12" s="9" t="n">
        <v>0.2083333333333333</v>
      </c>
    </row>
    <row r="13">
      <c r="A13" s="14" t="inlineStr">
        <is>
          <t>2026-08-10</t>
        </is>
      </c>
      <c r="B13" s="14" t="inlineStr">
        <is>
          <t>Wk2  10 Aug–16 Aug</t>
        </is>
      </c>
      <c r="C13" s="14" t="inlineStr">
        <is>
          <t>(not linked to a task)</t>
        </is>
      </c>
      <c r="D13" s="14" t="inlineStr">
        <is>
          <t>Muhammad Yahya</t>
        </is>
      </c>
      <c r="E13" s="14" t="inlineStr">
        <is>
          <t>Software Engineer I</t>
        </is>
      </c>
      <c r="F13" s="14" t="inlineStr">
        <is>
          <t>—</t>
        </is>
      </c>
      <c r="G13" s="15" t="inlineStr">
        <is>
          <t>Zedan</t>
        </is>
      </c>
      <c r="H13" s="15" t="inlineStr">
        <is>
          <t>General ongoing work on the Zedan shoe brand store.</t>
        </is>
      </c>
      <c r="I13" s="14" t="inlineStr">
        <is>
          <t>—</t>
        </is>
      </c>
      <c r="J13" s="9" t="n">
        <v>0</v>
      </c>
      <c r="K13" s="9" t="n">
        <v>0</v>
      </c>
      <c r="L13" s="9">
        <f>J13+K13</f>
        <v/>
      </c>
      <c r="M13" s="9" t="n">
        <v>0.625</v>
      </c>
    </row>
    <row r="14">
      <c r="A14" s="14" t="inlineStr">
        <is>
          <t>2026-08-10</t>
        </is>
      </c>
      <c r="B14" s="14" t="inlineStr">
        <is>
          <t>Wk2  10 Aug–16 Aug</t>
        </is>
      </c>
      <c r="C14" s="14" t="inlineStr">
        <is>
          <t>(not linked to a task)</t>
        </is>
      </c>
      <c r="D14" s="14" t="inlineStr">
        <is>
          <t>Sajawal Khan</t>
        </is>
      </c>
      <c r="E14" s="14" t="inlineStr">
        <is>
          <t>Web Content Specialist</t>
        </is>
      </c>
      <c r="F14" s="14" t="inlineStr">
        <is>
          <t>—</t>
        </is>
      </c>
      <c r="G14" s="15" t="inlineStr">
        <is>
          <t>Neowall</t>
        </is>
      </c>
      <c r="H14" s="15" t="inlineStr">
        <is>
          <t>General ongoing work on the Neowall cladding website.</t>
        </is>
      </c>
      <c r="I14" s="14" t="inlineStr">
        <is>
          <t>—</t>
        </is>
      </c>
      <c r="J14" s="9" t="n">
        <v>0</v>
      </c>
      <c r="K14" s="9" t="n">
        <v>0</v>
      </c>
      <c r="L14" s="9">
        <f>J14+K14</f>
        <v/>
      </c>
      <c r="M14" s="9" t="n">
        <v>0.5416666666666666</v>
      </c>
    </row>
    <row r="15">
      <c r="A15" s="14" t="inlineStr">
        <is>
          <t>2026-08-10</t>
        </is>
      </c>
      <c r="B15" s="14" t="inlineStr">
        <is>
          <t>Wk2  10 Aug–16 Aug</t>
        </is>
      </c>
      <c r="C15" s="14" t="inlineStr">
        <is>
          <t>(not linked to a task)</t>
        </is>
      </c>
      <c r="D15" s="14" t="inlineStr">
        <is>
          <t>Yasir birlas</t>
        </is>
      </c>
      <c r="E15" s="14" t="inlineStr">
        <is>
          <t>Digital Marketing Executive</t>
        </is>
      </c>
      <c r="F15" s="14" t="inlineStr">
        <is>
          <t>—</t>
        </is>
      </c>
      <c r="G15" s="15" t="inlineStr">
        <is>
          <t>Rise of Burges</t>
        </is>
      </c>
      <c r="H15" s="15" t="inlineStr">
        <is>
          <t>General ongoing work for the Rise of Burges client.</t>
        </is>
      </c>
      <c r="I15" s="14" t="inlineStr">
        <is>
          <t>—</t>
        </is>
      </c>
      <c r="J15" s="9" t="n">
        <v>0</v>
      </c>
      <c r="K15" s="9" t="n">
        <v>0</v>
      </c>
      <c r="L15" s="9">
        <f>J15+K15</f>
        <v/>
      </c>
      <c r="M15" s="9" t="n">
        <v>0.8125</v>
      </c>
    </row>
    <row r="16">
      <c r="A16" s="14" t="inlineStr">
        <is>
          <t>2026-08-10</t>
        </is>
      </c>
      <c r="B16" s="14" t="inlineStr">
        <is>
          <t>Wk2  10 Aug–16 Aug</t>
        </is>
      </c>
      <c r="C16" s="14" t="inlineStr">
        <is>
          <t>(not linked to a task)</t>
        </is>
      </c>
      <c r="D16" s="14" t="inlineStr">
        <is>
          <t>Zain Malik</t>
        </is>
      </c>
      <c r="E16" s="14" t="inlineStr">
        <is>
          <t>Software Engineer II</t>
        </is>
      </c>
      <c r="F16" s="14" t="inlineStr">
        <is>
          <t>—</t>
        </is>
      </c>
      <c r="G16" s="15" t="inlineStr">
        <is>
          <t>Linknbit Portal</t>
        </is>
      </c>
      <c r="H16" s="15" t="inlineStr">
        <is>
          <t>Work on our own internal staff portal.</t>
        </is>
      </c>
      <c r="I16" s="14" t="inlineStr">
        <is>
          <t>—</t>
        </is>
      </c>
      <c r="J16" s="9" t="n">
        <v>0</v>
      </c>
      <c r="K16" s="9" t="n">
        <v>0</v>
      </c>
      <c r="L16" s="9">
        <f>J16+K16</f>
        <v/>
      </c>
      <c r="M16" s="9" t="n">
        <v>0.6666666666666666</v>
      </c>
    </row>
    <row r="17">
      <c r="A17" s="14" t="inlineStr">
        <is>
          <t>2026-08-17</t>
        </is>
      </c>
      <c r="B17" s="14" t="inlineStr">
        <is>
          <t>Wk3  17 Aug–23 Aug</t>
        </is>
      </c>
      <c r="C17" s="14" t="inlineStr">
        <is>
          <t>(not linked to a task)</t>
        </is>
      </c>
      <c r="D17" s="14" t="inlineStr">
        <is>
          <t>Abbas Khan</t>
        </is>
      </c>
      <c r="E17" s="14" t="inlineStr">
        <is>
          <t>CMS Developer and UI/UX Designer</t>
        </is>
      </c>
      <c r="F17" s="14" t="inlineStr">
        <is>
          <t>—</t>
        </is>
      </c>
      <c r="G17" s="15" t="inlineStr">
        <is>
          <t>Amber Bright</t>
        </is>
      </c>
      <c r="H17" s="15" t="inlineStr">
        <is>
          <t>General ongoing work for Bright Amber.</t>
        </is>
      </c>
      <c r="I17" s="14" t="inlineStr">
        <is>
          <t>—</t>
        </is>
      </c>
      <c r="J17" s="9" t="n">
        <v>0</v>
      </c>
      <c r="K17" s="9" t="n">
        <v>0</v>
      </c>
      <c r="L17" s="9">
        <f>J17+K17</f>
        <v/>
      </c>
      <c r="M17" s="9" t="n">
        <v>0.125</v>
      </c>
    </row>
    <row r="18">
      <c r="A18" s="14" t="inlineStr">
        <is>
          <t>2026-08-17</t>
        </is>
      </c>
      <c r="B18" s="14" t="inlineStr">
        <is>
          <t>Wk3  17 Aug–23 Aug</t>
        </is>
      </c>
      <c r="C18" s="14" t="inlineStr">
        <is>
          <t>(not linked to a task)</t>
        </is>
      </c>
      <c r="D18" s="14" t="inlineStr">
        <is>
          <t>Atta Ul Mustafa Saad</t>
        </is>
      </c>
      <c r="E18" s="14" t="inlineStr">
        <is>
          <t>UI/UX Designer</t>
        </is>
      </c>
      <c r="F18" s="14" t="inlineStr">
        <is>
          <t>—</t>
        </is>
      </c>
      <c r="G18" s="15" t="inlineStr">
        <is>
          <t>Linknbit Website</t>
        </is>
      </c>
      <c r="H18" s="15" t="inlineStr">
        <is>
          <t>General work on our own company website.</t>
        </is>
      </c>
      <c r="I18" s="14" t="inlineStr">
        <is>
          <t>—</t>
        </is>
      </c>
      <c r="J18" s="9" t="n">
        <v>0</v>
      </c>
      <c r="K18" s="9" t="n">
        <v>0</v>
      </c>
      <c r="L18" s="9">
        <f>J18+K18</f>
        <v/>
      </c>
      <c r="M18" s="9" t="n">
        <v>0.2708333333333333</v>
      </c>
    </row>
    <row r="19">
      <c r="A19" s="14" t="inlineStr">
        <is>
          <t>2026-08-17</t>
        </is>
      </c>
      <c r="B19" s="14" t="inlineStr">
        <is>
          <t>Wk3  17 Aug–23 Aug</t>
        </is>
      </c>
      <c r="C19" s="14" t="inlineStr">
        <is>
          <t>(not linked to a task)</t>
        </is>
      </c>
      <c r="D19" s="14" t="inlineStr">
        <is>
          <t>Maaz Tareen</t>
        </is>
      </c>
      <c r="E19" s="14" t="inlineStr">
        <is>
          <t>UI/UX Designer</t>
        </is>
      </c>
      <c r="F19" s="14" t="inlineStr">
        <is>
          <t>—</t>
        </is>
      </c>
      <c r="G19" s="15" t="inlineStr">
        <is>
          <t>MAQx</t>
        </is>
      </c>
      <c r="H19" s="15" t="inlineStr">
        <is>
          <t>General ongoing work for the MAQx education client.</t>
        </is>
      </c>
      <c r="I19" s="14" t="inlineStr">
        <is>
          <t>—</t>
        </is>
      </c>
      <c r="J19" s="9" t="n">
        <v>0</v>
      </c>
      <c r="K19" s="9" t="n">
        <v>0</v>
      </c>
      <c r="L19" s="9">
        <f>J19+K19</f>
        <v/>
      </c>
      <c r="M19" s="9" t="n">
        <v>0.2916666666666667</v>
      </c>
    </row>
    <row r="20">
      <c r="A20" s="14" t="inlineStr">
        <is>
          <t>2026-08-17</t>
        </is>
      </c>
      <c r="B20" s="14" t="inlineStr">
        <is>
          <t>Wk3  17 Aug–23 Aug</t>
        </is>
      </c>
      <c r="C20" s="14" t="inlineStr">
        <is>
          <t>(not linked to a task)</t>
        </is>
      </c>
      <c r="D20" s="14" t="inlineStr">
        <is>
          <t>Muhammad Yahya</t>
        </is>
      </c>
      <c r="E20" s="14" t="inlineStr">
        <is>
          <t>Software Engineer I</t>
        </is>
      </c>
      <c r="F20" s="14" t="inlineStr">
        <is>
          <t>—</t>
        </is>
      </c>
      <c r="G20" s="15" t="inlineStr">
        <is>
          <t>Titan Forge</t>
        </is>
      </c>
      <c r="H20" s="15" t="inlineStr">
        <is>
          <t>General ongoing work on the Titan Forge website.</t>
        </is>
      </c>
      <c r="I20" s="14" t="inlineStr">
        <is>
          <t>—</t>
        </is>
      </c>
      <c r="J20" s="9" t="n">
        <v>0</v>
      </c>
      <c r="K20" s="9" t="n">
        <v>0</v>
      </c>
      <c r="L20" s="9">
        <f>J20+K20</f>
        <v/>
      </c>
      <c r="M20" s="9" t="n">
        <v>1.333333333333333</v>
      </c>
    </row>
    <row r="21">
      <c r="A21" s="14" t="inlineStr">
        <is>
          <t>2026-08-17</t>
        </is>
      </c>
      <c r="B21" s="14" t="inlineStr">
        <is>
          <t>Wk3  17 Aug–23 Aug</t>
        </is>
      </c>
      <c r="C21" s="14" t="inlineStr">
        <is>
          <t>(not linked to a task)</t>
        </is>
      </c>
      <c r="D21" s="14" t="inlineStr">
        <is>
          <t>Noor Shahid</t>
        </is>
      </c>
      <c r="E21" s="14" t="inlineStr">
        <is>
          <t>Chief Marketing Officer</t>
        </is>
      </c>
      <c r="F21" s="14" t="inlineStr">
        <is>
          <t>—</t>
        </is>
      </c>
      <c r="G21" s="15" t="inlineStr">
        <is>
          <t>Zedan</t>
        </is>
      </c>
      <c r="H21" s="15" t="inlineStr">
        <is>
          <t>General ongoing work on the Zedan shoe brand store.</t>
        </is>
      </c>
      <c r="I21" s="14" t="inlineStr">
        <is>
          <t>—</t>
        </is>
      </c>
      <c r="J21" s="9" t="n">
        <v>0</v>
      </c>
      <c r="K21" s="9" t="n">
        <v>0</v>
      </c>
      <c r="L21" s="9">
        <f>J21+K21</f>
        <v/>
      </c>
      <c r="M21" s="9" t="n">
        <v>0.1041666666666667</v>
      </c>
    </row>
    <row r="22">
      <c r="A22" s="14" t="inlineStr">
        <is>
          <t>2026-08-17</t>
        </is>
      </c>
      <c r="B22" s="14" t="inlineStr">
        <is>
          <t>Wk3  17 Aug–23 Aug</t>
        </is>
      </c>
      <c r="C22" s="14" t="inlineStr">
        <is>
          <t>(not linked to a task)</t>
        </is>
      </c>
      <c r="D22" s="14" t="inlineStr">
        <is>
          <t>Sajawal Khan</t>
        </is>
      </c>
      <c r="E22" s="14" t="inlineStr">
        <is>
          <t>Web Content Specialist</t>
        </is>
      </c>
      <c r="F22" s="14" t="inlineStr">
        <is>
          <t>—</t>
        </is>
      </c>
      <c r="G22" s="15" t="inlineStr">
        <is>
          <t>Builders Trade Depot</t>
        </is>
      </c>
      <c r="H22" s="15" t="inlineStr">
        <is>
          <t>General ongoing work for Builders Trade Depot.</t>
        </is>
      </c>
      <c r="I22" s="14" t="inlineStr">
        <is>
          <t>—</t>
        </is>
      </c>
      <c r="J22" s="9" t="n">
        <v>0</v>
      </c>
      <c r="K22" s="9" t="n">
        <v>0</v>
      </c>
      <c r="L22" s="9">
        <f>J22+K22</f>
        <v/>
      </c>
      <c r="M22" s="9" t="n">
        <v>0.5416666666666666</v>
      </c>
    </row>
    <row r="23">
      <c r="A23" s="14" t="inlineStr">
        <is>
          <t>2026-08-17</t>
        </is>
      </c>
      <c r="B23" s="14" t="inlineStr">
        <is>
          <t>Wk3  17 Aug–23 Aug</t>
        </is>
      </c>
      <c r="C23" s="14" t="inlineStr">
        <is>
          <t>(not linked to a task)</t>
        </is>
      </c>
      <c r="D23" s="14" t="inlineStr">
        <is>
          <t>Yasir birlas</t>
        </is>
      </c>
      <c r="E23" s="14" t="inlineStr">
        <is>
          <t>Digital Marketing Executive</t>
        </is>
      </c>
      <c r="F23" s="14" t="inlineStr">
        <is>
          <t>—</t>
        </is>
      </c>
      <c r="G23" s="15" t="inlineStr">
        <is>
          <t>Neowall</t>
        </is>
      </c>
      <c r="H23" s="15" t="inlineStr">
        <is>
          <t>General ongoing work on the Neowall cladding website.</t>
        </is>
      </c>
      <c r="I23" s="14" t="inlineStr">
        <is>
          <t>—</t>
        </is>
      </c>
      <c r="J23" s="9" t="n">
        <v>0</v>
      </c>
      <c r="K23" s="9" t="n">
        <v>0</v>
      </c>
      <c r="L23" s="9">
        <f>J23+K23</f>
        <v/>
      </c>
      <c r="M23" s="9" t="n">
        <v>0.3958333333333333</v>
      </c>
    </row>
    <row r="24">
      <c r="A24" s="14" t="inlineStr">
        <is>
          <t>2026-08-17</t>
        </is>
      </c>
      <c r="B24" s="14" t="inlineStr">
        <is>
          <t>Wk3  17 Aug–23 Aug</t>
        </is>
      </c>
      <c r="C24" s="14" t="inlineStr">
        <is>
          <t>(not linked to a task)</t>
        </is>
      </c>
      <c r="D24" s="14" t="inlineStr">
        <is>
          <t>Zain Malik</t>
        </is>
      </c>
      <c r="E24" s="14" t="inlineStr">
        <is>
          <t>Software Engineer II</t>
        </is>
      </c>
      <c r="F24" s="14" t="inlineStr">
        <is>
          <t>—</t>
        </is>
      </c>
      <c r="G24" s="15" t="inlineStr">
        <is>
          <t>Cricket Sansar</t>
        </is>
      </c>
      <c r="H24" s="15" t="inlineStr">
        <is>
          <t>General ongoing work on the Cricket Sansar app.</t>
        </is>
      </c>
      <c r="I24" s="14" t="inlineStr">
        <is>
          <t>—</t>
        </is>
      </c>
      <c r="J24" s="9" t="n">
        <v>0</v>
      </c>
      <c r="K24" s="9" t="n">
        <v>0</v>
      </c>
      <c r="L24" s="9">
        <f>J24+K24</f>
        <v/>
      </c>
      <c r="M24" s="9" t="n">
        <v>0.6666666666666666</v>
      </c>
    </row>
    <row r="25">
      <c r="A25" s="14" t="inlineStr">
        <is>
          <t>2026-08-17</t>
        </is>
      </c>
      <c r="B25" s="14" t="inlineStr">
        <is>
          <t>Wk3  17 Aug–23 Aug</t>
        </is>
      </c>
      <c r="C25" s="14" t="inlineStr">
        <is>
          <t>(not linked to a task)</t>
        </is>
      </c>
      <c r="D25" s="14" t="inlineStr">
        <is>
          <t>khizer hayat</t>
        </is>
      </c>
      <c r="E25" s="14" t="inlineStr">
        <is>
          <t>CMS Developer</t>
        </is>
      </c>
      <c r="F25" s="14" t="inlineStr">
        <is>
          <t>—</t>
        </is>
      </c>
      <c r="G25" s="15" t="inlineStr">
        <is>
          <t>Builders Trade Depot</t>
        </is>
      </c>
      <c r="H25" s="15" t="inlineStr">
        <is>
          <t>General ongoing work for Builders Trade Depot.</t>
        </is>
      </c>
      <c r="I25" s="14" t="inlineStr">
        <is>
          <t>—</t>
        </is>
      </c>
      <c r="J25" s="9" t="n">
        <v>0</v>
      </c>
      <c r="K25" s="9" t="n">
        <v>0</v>
      </c>
      <c r="L25" s="9">
        <f>J25+K25</f>
        <v/>
      </c>
      <c r="M25" s="9" t="n">
        <v>0.125</v>
      </c>
    </row>
    <row r="26">
      <c r="A26" s="14" t="inlineStr">
        <is>
          <t>2026-08-24</t>
        </is>
      </c>
      <c r="B26" s="14" t="inlineStr">
        <is>
          <t>Wk4  24 Aug–30 Aug</t>
        </is>
      </c>
      <c r="C26" s="14" t="inlineStr">
        <is>
          <t>(not linked to a task)</t>
        </is>
      </c>
      <c r="D26" s="14" t="inlineStr">
        <is>
          <t>Abbas Khan</t>
        </is>
      </c>
      <c r="E26" s="14" t="inlineStr">
        <is>
          <t>CMS Developer and UI/UX Designer</t>
        </is>
      </c>
      <c r="F26" s="14" t="inlineStr">
        <is>
          <t>—</t>
        </is>
      </c>
      <c r="G26" s="15" t="inlineStr">
        <is>
          <t>Learning</t>
        </is>
      </c>
      <c r="H26" s="15" t="inlineStr">
        <is>
          <t>General training and upskilling time.</t>
        </is>
      </c>
      <c r="I26" s="14" t="inlineStr">
        <is>
          <t>—</t>
        </is>
      </c>
      <c r="J26" s="9" t="n">
        <v>0</v>
      </c>
      <c r="K26" s="9" t="n">
        <v>0</v>
      </c>
      <c r="L26" s="9">
        <f>J26+K26</f>
        <v/>
      </c>
      <c r="M26" s="9" t="n">
        <v>0.4722222222222222</v>
      </c>
    </row>
    <row r="27">
      <c r="A27" s="14" t="inlineStr">
        <is>
          <t>2026-08-24</t>
        </is>
      </c>
      <c r="B27" s="14" t="inlineStr">
        <is>
          <t>Wk4  24 Aug–30 Aug</t>
        </is>
      </c>
      <c r="C27" s="14" t="inlineStr">
        <is>
          <t>(not linked to a task)</t>
        </is>
      </c>
      <c r="D27" s="14" t="inlineStr">
        <is>
          <t>Atta Ul Mustafa Saad</t>
        </is>
      </c>
      <c r="E27" s="14" t="inlineStr">
        <is>
          <t>UI/UX Designer</t>
        </is>
      </c>
      <c r="F27" s="14" t="inlineStr">
        <is>
          <t>—</t>
        </is>
      </c>
      <c r="G27" s="15" t="inlineStr">
        <is>
          <t>Capital Car Finance (CCF)</t>
        </is>
      </c>
      <c r="H27" s="15" t="inlineStr">
        <is>
          <t>General ongoing work for Capital Car Finance.</t>
        </is>
      </c>
      <c r="I27" s="14" t="inlineStr">
        <is>
          <t>—</t>
        </is>
      </c>
      <c r="J27" s="9" t="n">
        <v>0</v>
      </c>
      <c r="K27" s="9" t="n">
        <v>0</v>
      </c>
      <c r="L27" s="9">
        <f>J27+K27</f>
        <v/>
      </c>
      <c r="M27" s="9" t="n">
        <v>0.2083333333333333</v>
      </c>
    </row>
    <row r="28">
      <c r="A28" s="14" t="inlineStr">
        <is>
          <t>2026-08-24</t>
        </is>
      </c>
      <c r="B28" s="14" t="inlineStr">
        <is>
          <t>Wk4  24 Aug–30 Aug</t>
        </is>
      </c>
      <c r="C28" s="14" t="inlineStr">
        <is>
          <t>(not linked to a task)</t>
        </is>
      </c>
      <c r="D28" s="14" t="inlineStr">
        <is>
          <t>Mahnoor Khalid</t>
        </is>
      </c>
      <c r="E28" s="14" t="inlineStr">
        <is>
          <t>Digital Marketing Executive</t>
        </is>
      </c>
      <c r="F28" s="14" t="inlineStr">
        <is>
          <t>—</t>
        </is>
      </c>
      <c r="G28" s="15" t="inlineStr">
        <is>
          <t>MAQx</t>
        </is>
      </c>
      <c r="H28" s="15" t="inlineStr">
        <is>
          <t>General ongoing work for the MAQx education client.</t>
        </is>
      </c>
      <c r="I28" s="14" t="inlineStr">
        <is>
          <t>—</t>
        </is>
      </c>
      <c r="J28" s="9" t="n">
        <v>0</v>
      </c>
      <c r="K28" s="9" t="n">
        <v>0</v>
      </c>
      <c r="L28" s="9">
        <f>J28+K28</f>
        <v/>
      </c>
      <c r="M28" s="9" t="n">
        <v>1</v>
      </c>
    </row>
    <row r="29">
      <c r="A29" s="14" t="inlineStr">
        <is>
          <t>2026-08-24</t>
        </is>
      </c>
      <c r="B29" s="14" t="inlineStr">
        <is>
          <t>Wk4  24 Aug–30 Aug</t>
        </is>
      </c>
      <c r="C29" s="14" t="inlineStr">
        <is>
          <t>(not linked to a task)</t>
        </is>
      </c>
      <c r="D29" s="14" t="inlineStr">
        <is>
          <t>Muhammad Yahya</t>
        </is>
      </c>
      <c r="E29" s="14" t="inlineStr">
        <is>
          <t>Software Engineer I</t>
        </is>
      </c>
      <c r="F29" s="14" t="inlineStr">
        <is>
          <t>—</t>
        </is>
      </c>
      <c r="G29" s="15" t="inlineStr">
        <is>
          <t>Titan Forge</t>
        </is>
      </c>
      <c r="H29" s="15" t="inlineStr">
        <is>
          <t>General ongoing work on the Titan Forge website.</t>
        </is>
      </c>
      <c r="I29" s="14" t="inlineStr">
        <is>
          <t>—</t>
        </is>
      </c>
      <c r="J29" s="9" t="n">
        <v>0</v>
      </c>
      <c r="K29" s="9" t="n">
        <v>0</v>
      </c>
      <c r="L29" s="9">
        <f>J29+K29</f>
        <v/>
      </c>
      <c r="M29" s="9" t="n">
        <v>0.6666666666666666</v>
      </c>
    </row>
    <row r="30">
      <c r="A30" s="14" t="inlineStr">
        <is>
          <t>2026-08-31</t>
        </is>
      </c>
      <c r="B30" s="14" t="inlineStr">
        <is>
          <t>Wk5  31 Aug–06 Sep</t>
        </is>
      </c>
      <c r="C30" s="14" t="inlineStr">
        <is>
          <t>(not linked to a task)</t>
        </is>
      </c>
      <c r="D30" s="14" t="inlineStr">
        <is>
          <t>Abbas Khan</t>
        </is>
      </c>
      <c r="E30" s="14" t="inlineStr">
        <is>
          <t>CMS Developer and UI/UX Designer</t>
        </is>
      </c>
      <c r="F30" s="14" t="inlineStr">
        <is>
          <t>—</t>
        </is>
      </c>
      <c r="G30" s="15" t="inlineStr">
        <is>
          <t>Learning</t>
        </is>
      </c>
      <c r="H30" s="15" t="inlineStr">
        <is>
          <t>General training and upskilling time.</t>
        </is>
      </c>
      <c r="I30" s="14" t="inlineStr">
        <is>
          <t>—</t>
        </is>
      </c>
      <c r="J30" s="9" t="n">
        <v>0</v>
      </c>
      <c r="K30" s="9" t="n">
        <v>0</v>
      </c>
      <c r="L30" s="9">
        <f>J30+K30</f>
        <v/>
      </c>
      <c r="M30" s="9" t="n">
        <v>0.25</v>
      </c>
    </row>
    <row r="31">
      <c r="A31" s="14" t="inlineStr">
        <is>
          <t>2026-08-31</t>
        </is>
      </c>
      <c r="B31" s="14" t="inlineStr">
        <is>
          <t>Wk5  31 Aug–06 Sep</t>
        </is>
      </c>
      <c r="C31" s="14" t="inlineStr">
        <is>
          <t>(not linked to a task)</t>
        </is>
      </c>
      <c r="D31" s="14" t="inlineStr">
        <is>
          <t>Maaz Tareen</t>
        </is>
      </c>
      <c r="E31" s="14" t="inlineStr">
        <is>
          <t>UI/UX Designer</t>
        </is>
      </c>
      <c r="F31" s="14" t="inlineStr">
        <is>
          <t>—</t>
        </is>
      </c>
      <c r="G31" s="15" t="inlineStr">
        <is>
          <t>Greta Grove Ad creatives Design</t>
        </is>
      </c>
      <c r="H31" s="15" t="inlineStr">
        <is>
          <t>Designing Greta Grove ad creatives.</t>
        </is>
      </c>
      <c r="I31" s="14" t="inlineStr">
        <is>
          <t>—</t>
        </is>
      </c>
      <c r="J31" s="9" t="n">
        <v>0</v>
      </c>
      <c r="K31" s="9" t="n">
        <v>0</v>
      </c>
      <c r="L31" s="9">
        <f>J31+K31</f>
        <v/>
      </c>
      <c r="M31" s="9" t="n">
        <v>0.03263888888888889</v>
      </c>
    </row>
    <row r="32">
      <c r="A32" s="14" t="inlineStr">
        <is>
          <t>2026-08-31</t>
        </is>
      </c>
      <c r="B32" s="14" t="inlineStr">
        <is>
          <t>Wk5  31 Aug–06 Sep</t>
        </is>
      </c>
      <c r="C32" s="14" t="inlineStr">
        <is>
          <t>(not linked to a task)</t>
        </is>
      </c>
      <c r="D32" s="14" t="inlineStr">
        <is>
          <t>Mahnoor Khalid</t>
        </is>
      </c>
      <c r="E32" s="14" t="inlineStr">
        <is>
          <t>Digital Marketing Executive</t>
        </is>
      </c>
      <c r="F32" s="14" t="inlineStr">
        <is>
          <t>—</t>
        </is>
      </c>
      <c r="G32" s="15" t="inlineStr">
        <is>
          <t>Linknbit</t>
        </is>
      </c>
      <c r="H32" s="15" t="inlineStr">
        <is>
          <t>General ongoing work on our own Linknbit brand and marketing.</t>
        </is>
      </c>
      <c r="I32" s="14" t="inlineStr">
        <is>
          <t>—</t>
        </is>
      </c>
      <c r="J32" s="9" t="n">
        <v>0</v>
      </c>
      <c r="K32" s="9" t="n">
        <v>0</v>
      </c>
      <c r="L32" s="9">
        <f>J32+K32</f>
        <v/>
      </c>
      <c r="M32" s="9" t="n">
        <v>0.6666666666666666</v>
      </c>
    </row>
    <row r="33">
      <c r="A33" s="14" t="inlineStr">
        <is>
          <t>2026-08-31</t>
        </is>
      </c>
      <c r="B33" s="14" t="inlineStr">
        <is>
          <t>Wk5  31 Aug–06 Sep</t>
        </is>
      </c>
      <c r="C33" s="14" t="inlineStr">
        <is>
          <t>(not linked to a task)</t>
        </is>
      </c>
      <c r="D33" s="14" t="inlineStr">
        <is>
          <t>Muhammad Yahya</t>
        </is>
      </c>
      <c r="E33" s="14" t="inlineStr">
        <is>
          <t>Software Engineer I</t>
        </is>
      </c>
      <c r="F33" s="14" t="inlineStr">
        <is>
          <t>—</t>
        </is>
      </c>
      <c r="G33" s="15" t="inlineStr">
        <is>
          <t>Titan Forge</t>
        </is>
      </c>
      <c r="H33" s="15" t="inlineStr">
        <is>
          <t>General ongoing work on the Titan Forge website.</t>
        </is>
      </c>
      <c r="I33" s="14" t="inlineStr">
        <is>
          <t>—</t>
        </is>
      </c>
      <c r="J33" s="9" t="n">
        <v>0</v>
      </c>
      <c r="K33" s="9" t="n">
        <v>0</v>
      </c>
      <c r="L33" s="9">
        <f>J33+K33</f>
        <v/>
      </c>
      <c r="M33" s="9" t="n">
        <v>1.208333333333333</v>
      </c>
    </row>
    <row r="34">
      <c r="A34" s="14" t="inlineStr">
        <is>
          <t>2026-08-31</t>
        </is>
      </c>
      <c r="B34" s="14" t="inlineStr">
        <is>
          <t>Wk5  31 Aug–06 Sep</t>
        </is>
      </c>
      <c r="C34" s="14" t="inlineStr">
        <is>
          <t>(not linked to a task)</t>
        </is>
      </c>
      <c r="D34" s="14" t="inlineStr">
        <is>
          <t>Sajawal Khan</t>
        </is>
      </c>
      <c r="E34" s="14" t="inlineStr">
        <is>
          <t>Web Content Specialist</t>
        </is>
      </c>
      <c r="F34" s="14" t="inlineStr">
        <is>
          <t>—</t>
        </is>
      </c>
      <c r="G34" s="15" t="inlineStr">
        <is>
          <t>Zedan</t>
        </is>
      </c>
      <c r="H34" s="15" t="inlineStr">
        <is>
          <t>General ongoing work on the Zedan shoe brand store.</t>
        </is>
      </c>
      <c r="I34" s="14" t="inlineStr">
        <is>
          <t>—</t>
        </is>
      </c>
      <c r="J34" s="9" t="n">
        <v>0</v>
      </c>
      <c r="K34" s="9" t="n">
        <v>0</v>
      </c>
      <c r="L34" s="9">
        <f>J34+K34</f>
        <v/>
      </c>
      <c r="M34" s="9" t="n">
        <v>0.375</v>
      </c>
    </row>
    <row r="35">
      <c r="A35" s="14" t="inlineStr">
        <is>
          <t>2026-08-31</t>
        </is>
      </c>
      <c r="B35" s="14" t="inlineStr">
        <is>
          <t>Wk5  31 Aug–06 Sep</t>
        </is>
      </c>
      <c r="C35" s="14" t="inlineStr">
        <is>
          <t>(not linked to a task)</t>
        </is>
      </c>
      <c r="D35" s="14" t="inlineStr">
        <is>
          <t>Yasir birlas</t>
        </is>
      </c>
      <c r="E35" s="14" t="inlineStr">
        <is>
          <t>Digital Marketing Executive</t>
        </is>
      </c>
      <c r="F35" s="14" t="inlineStr">
        <is>
          <t>—</t>
        </is>
      </c>
      <c r="G35" s="15" t="inlineStr">
        <is>
          <t>Onboarding</t>
        </is>
      </c>
      <c r="H35" s="15" t="inlineStr">
        <is>
          <t>Onboarding time for a new team member.</t>
        </is>
      </c>
      <c r="I35" s="14" t="inlineStr">
        <is>
          <t>—</t>
        </is>
      </c>
      <c r="J35" s="9" t="n">
        <v>0</v>
      </c>
      <c r="K35" s="9" t="n">
        <v>0</v>
      </c>
      <c r="L35" s="9">
        <f>J35+K35</f>
        <v/>
      </c>
      <c r="M35" s="9" t="n">
        <v>0.1458333333333333</v>
      </c>
    </row>
    <row r="36">
      <c r="A36" s="14" t="inlineStr">
        <is>
          <t>2026-09-07</t>
        </is>
      </c>
      <c r="B36" s="14" t="inlineStr">
        <is>
          <t>Wk6  07 Sep–13 Sep</t>
        </is>
      </c>
      <c r="C36" s="14" t="inlineStr">
        <is>
          <t>(not linked to a task)</t>
        </is>
      </c>
      <c r="D36" s="14" t="inlineStr">
        <is>
          <t>Abbas Khan</t>
        </is>
      </c>
      <c r="E36" s="14" t="inlineStr">
        <is>
          <t>CMS Developer and UI/UX Designer</t>
        </is>
      </c>
      <c r="F36" s="14" t="inlineStr">
        <is>
          <t>—</t>
        </is>
      </c>
      <c r="G36" s="15" t="inlineStr">
        <is>
          <t>Learning</t>
        </is>
      </c>
      <c r="H36" s="15" t="inlineStr">
        <is>
          <t>General training and upskilling time.</t>
        </is>
      </c>
      <c r="I36" s="14" t="inlineStr">
        <is>
          <t>—</t>
        </is>
      </c>
      <c r="J36" s="9" t="n">
        <v>0</v>
      </c>
      <c r="K36" s="9" t="n">
        <v>0</v>
      </c>
      <c r="L36" s="9">
        <f>J36+K36</f>
        <v/>
      </c>
      <c r="M36" s="9" t="n">
        <v>0.08333333333333333</v>
      </c>
    </row>
    <row r="37">
      <c r="A37" s="14" t="inlineStr">
        <is>
          <t>2026-09-07</t>
        </is>
      </c>
      <c r="B37" s="14" t="inlineStr">
        <is>
          <t>Wk6  07 Sep–13 Sep</t>
        </is>
      </c>
      <c r="C37" s="14" t="inlineStr">
        <is>
          <t>(not linked to a task)</t>
        </is>
      </c>
      <c r="D37" s="14" t="inlineStr">
        <is>
          <t>Muhammad Yahya</t>
        </is>
      </c>
      <c r="E37" s="14" t="inlineStr">
        <is>
          <t>Software Engineer I</t>
        </is>
      </c>
      <c r="F37" s="14" t="inlineStr">
        <is>
          <t>—</t>
        </is>
      </c>
      <c r="G37" s="15" t="inlineStr">
        <is>
          <t>Learning</t>
        </is>
      </c>
      <c r="H37" s="15" t="inlineStr">
        <is>
          <t>General training and upskilling time.</t>
        </is>
      </c>
      <c r="I37" s="14" t="inlineStr">
        <is>
          <t>—</t>
        </is>
      </c>
      <c r="J37" s="9" t="n">
        <v>0</v>
      </c>
      <c r="K37" s="9" t="n">
        <v>0</v>
      </c>
      <c r="L37" s="9">
        <f>J37+K37</f>
        <v/>
      </c>
      <c r="M37" s="9" t="n">
        <v>0.3791666666666667</v>
      </c>
    </row>
    <row r="38">
      <c r="A38" s="14" t="inlineStr">
        <is>
          <t>2026-09-14</t>
        </is>
      </c>
      <c r="B38" s="14" t="inlineStr">
        <is>
          <t>Wk7  14 Sep–20 Sep</t>
        </is>
      </c>
      <c r="C38" s="14" t="inlineStr">
        <is>
          <t>(not linked to a task)</t>
        </is>
      </c>
      <c r="D38" s="14" t="inlineStr">
        <is>
          <t>Muhammad Yahya</t>
        </is>
      </c>
      <c r="E38" s="14" t="inlineStr">
        <is>
          <t>Software Engineer I</t>
        </is>
      </c>
      <c r="F38" s="14" t="inlineStr">
        <is>
          <t>—</t>
        </is>
      </c>
      <c r="G38" s="15" t="inlineStr">
        <is>
          <t>Learning</t>
        </is>
      </c>
      <c r="H38" s="15" t="inlineStr">
        <is>
          <t>General training and upskilling time.</t>
        </is>
      </c>
      <c r="I38" s="14" t="inlineStr">
        <is>
          <t>—</t>
        </is>
      </c>
      <c r="J38" s="9" t="n">
        <v>0</v>
      </c>
      <c r="K38" s="9" t="n">
        <v>0</v>
      </c>
      <c r="L38" s="9">
        <f>J38+K38</f>
        <v/>
      </c>
      <c r="M38" s="9" t="n">
        <v>0.07152777777777777</v>
      </c>
    </row>
    <row r="39">
      <c r="A39" s="14" t="inlineStr">
        <is>
          <t>2026-09-14</t>
        </is>
      </c>
      <c r="B39" s="14" t="inlineStr">
        <is>
          <t>Wk7  14 Sep–20 Sep</t>
        </is>
      </c>
      <c r="C39" s="14" t="inlineStr">
        <is>
          <t>(not linked to a task)</t>
        </is>
      </c>
      <c r="D39" s="14" t="inlineStr">
        <is>
          <t>Yasir birlas</t>
        </is>
      </c>
      <c r="E39" s="14" t="inlineStr">
        <is>
          <t>Digital Marketing Executive</t>
        </is>
      </c>
      <c r="F39" s="14" t="inlineStr">
        <is>
          <t>—</t>
        </is>
      </c>
      <c r="G39" s="15" t="inlineStr">
        <is>
          <t>Starr Luxury Jets</t>
        </is>
      </c>
      <c r="H39" s="15" t="inlineStr">
        <is>
          <t>General ongoing work for Starr Luxury Jets.</t>
        </is>
      </c>
      <c r="I39" s="14" t="inlineStr">
        <is>
          <t>—</t>
        </is>
      </c>
      <c r="J39" s="9" t="n">
        <v>0</v>
      </c>
      <c r="K39" s="9" t="n">
        <v>0</v>
      </c>
      <c r="L39" s="9">
        <f>J39+K39</f>
        <v/>
      </c>
      <c r="M39" s="9" t="n">
        <v>0.5138888888888888</v>
      </c>
    </row>
    <row r="40">
      <c r="A40" s="14" t="inlineStr">
        <is>
          <t>2026-08-31</t>
        </is>
      </c>
      <c r="B40" s="14" t="inlineStr">
        <is>
          <t>Wk5  31 Aug–06 Sep</t>
        </is>
      </c>
      <c r="C40" s="14" t="inlineStr">
        <is>
          <t>Content Creation</t>
        </is>
      </c>
      <c r="D40" s="14" t="inlineStr">
        <is>
          <t>Abbas Khan</t>
        </is>
      </c>
      <c r="E40" s="14" t="inlineStr">
        <is>
          <t>CMS Developer and UI/UX Designer</t>
        </is>
      </c>
      <c r="F40" s="14" t="inlineStr">
        <is>
          <t>Linknbit</t>
        </is>
      </c>
      <c r="G40" s="15" t="inlineStr">
        <is>
          <t>Shoot Reels to edit</t>
        </is>
      </c>
      <c r="H40" s="15" t="inlineStr">
        <is>
          <t>Shooting and editing two reels for our socials.</t>
        </is>
      </c>
      <c r="I40" s="14" t="inlineStr">
        <is>
          <t>approved</t>
        </is>
      </c>
      <c r="J40" s="9" t="n">
        <v>0.005555555555555556</v>
      </c>
      <c r="K40" s="9" t="n">
        <v>0</v>
      </c>
      <c r="L40" s="9">
        <f>J40+K40</f>
        <v/>
      </c>
      <c r="M40" s="9" t="n">
        <v>0</v>
      </c>
    </row>
    <row r="41">
      <c r="A41" s="14" t="inlineStr">
        <is>
          <t>2026-08-03</t>
        </is>
      </c>
      <c r="B41" s="14" t="inlineStr">
        <is>
          <t>Wk1  03 Aug–09 Aug</t>
        </is>
      </c>
      <c r="C41" s="14" t="inlineStr">
        <is>
          <t>Design</t>
        </is>
      </c>
      <c r="D41" s="14" t="inlineStr">
        <is>
          <t>Abbas Khan</t>
        </is>
      </c>
      <c r="E41" s="14" t="inlineStr">
        <is>
          <t>CMS Developer and UI/UX Designer</t>
        </is>
      </c>
      <c r="F41" s="14" t="inlineStr">
        <is>
          <t>Zedan</t>
        </is>
      </c>
      <c r="G41" s="15" t="inlineStr">
        <is>
          <t>Images &amp; Website Content</t>
        </is>
      </c>
      <c r="H41" s="15" t="inlineStr">
        <is>
          <t>Preparing product/page imagery and updating site copy.</t>
        </is>
      </c>
      <c r="I41" s="14" t="inlineStr">
        <is>
          <t>completed</t>
        </is>
      </c>
      <c r="J41" s="9" t="n">
        <v>0.04305555555555556</v>
      </c>
      <c r="K41" s="9" t="n">
        <v>0</v>
      </c>
      <c r="L41" s="9">
        <f>J41+K41</f>
        <v/>
      </c>
      <c r="M41" s="9" t="n">
        <v>0</v>
      </c>
    </row>
    <row r="42">
      <c r="A42" s="14" t="inlineStr">
        <is>
          <t>2026-08-03</t>
        </is>
      </c>
      <c r="B42" s="14" t="inlineStr">
        <is>
          <t>Wk1  03 Aug–09 Aug</t>
        </is>
      </c>
      <c r="C42" s="14" t="inlineStr">
        <is>
          <t>Design</t>
        </is>
      </c>
      <c r="D42" s="14" t="inlineStr">
        <is>
          <t>Atta Ul Mustafa Saad</t>
        </is>
      </c>
      <c r="E42" s="14" t="inlineStr">
        <is>
          <t>UI/UX Designer</t>
        </is>
      </c>
      <c r="F42" s="14" t="inlineStr">
        <is>
          <t>Linknbit</t>
        </is>
      </c>
      <c r="G42" s="15" t="inlineStr">
        <is>
          <t>Catalogues Design for Asfand Upwork Profile</t>
        </is>
      </c>
      <c r="H42" s="15" t="inlineStr">
        <is>
          <t>Designing catalogues for an Upwork profile.</t>
        </is>
      </c>
      <c r="I42" s="14" t="inlineStr">
        <is>
          <t>completed</t>
        </is>
      </c>
      <c r="J42" s="9" t="n">
        <v>0</v>
      </c>
      <c r="K42" s="9" t="n">
        <v>0</v>
      </c>
      <c r="L42" s="9">
        <f>J42+K42</f>
        <v/>
      </c>
      <c r="M42" s="9" t="n">
        <v>0.04166666666666666</v>
      </c>
    </row>
    <row r="43">
      <c r="A43" s="14" t="inlineStr">
        <is>
          <t>2026-08-03</t>
        </is>
      </c>
      <c r="B43" s="14" t="inlineStr">
        <is>
          <t>Wk1  03 Aug–09 Aug</t>
        </is>
      </c>
      <c r="C43" s="14" t="inlineStr">
        <is>
          <t>Design</t>
        </is>
      </c>
      <c r="D43" s="14" t="inlineStr">
        <is>
          <t>Atta Ul Mustafa Saad</t>
        </is>
      </c>
      <c r="E43" s="14" t="inlineStr">
        <is>
          <t>UI/UX Designer</t>
        </is>
      </c>
      <c r="F43" s="14" t="inlineStr">
        <is>
          <t>Builders Trade Depot</t>
        </is>
      </c>
      <c r="G43" s="15" t="inlineStr">
        <is>
          <t>Rebrand BTD</t>
        </is>
      </c>
      <c r="H43" s="15" t="inlineStr">
        <is>
          <t>Rebranding BTD to Bathroom and Tiles Direct: logo and guidelines.</t>
        </is>
      </c>
      <c r="I43" s="14" t="inlineStr">
        <is>
          <t>completed</t>
        </is>
      </c>
      <c r="J43" s="9" t="n">
        <v>0</v>
      </c>
      <c r="K43" s="9" t="n">
        <v>0</v>
      </c>
      <c r="L43" s="9">
        <f>J43+K43</f>
        <v/>
      </c>
      <c r="M43" s="9" t="n">
        <v>0.1666666666666667</v>
      </c>
    </row>
    <row r="44">
      <c r="A44" s="14" t="inlineStr">
        <is>
          <t>2026-08-03</t>
        </is>
      </c>
      <c r="B44" s="14" t="inlineStr">
        <is>
          <t>Wk1  03 Aug–09 Aug</t>
        </is>
      </c>
      <c r="C44" s="14" t="inlineStr">
        <is>
          <t>Design</t>
        </is>
      </c>
      <c r="D44" s="14" t="inlineStr">
        <is>
          <t>Atta Ul Mustafa Saad</t>
        </is>
      </c>
      <c r="E44" s="14" t="inlineStr">
        <is>
          <t>UI/UX Designer</t>
        </is>
      </c>
      <c r="F44" s="14" t="inlineStr">
        <is>
          <t>Linknbit</t>
        </is>
      </c>
      <c r="G44" s="15" t="inlineStr">
        <is>
          <t>Thumbnails</t>
        </is>
      </c>
      <c r="H44" s="15" t="inlineStr">
        <is>
          <t>Designing video/post thumbnails.</t>
        </is>
      </c>
      <c r="I44" s="14" t="inlineStr">
        <is>
          <t>completed</t>
        </is>
      </c>
      <c r="J44" s="9" t="n">
        <v>0</v>
      </c>
      <c r="K44" s="9" t="n">
        <v>0</v>
      </c>
      <c r="L44" s="9">
        <f>J44+K44</f>
        <v/>
      </c>
      <c r="M44" s="9" t="n">
        <v>0.1875</v>
      </c>
    </row>
    <row r="45">
      <c r="A45" s="14" t="inlineStr">
        <is>
          <t>2026-08-03</t>
        </is>
      </c>
      <c r="B45" s="14" t="inlineStr">
        <is>
          <t>Wk1  03 Aug–09 Aug</t>
        </is>
      </c>
      <c r="C45" s="14" t="inlineStr">
        <is>
          <t>Design</t>
        </is>
      </c>
      <c r="D45" s="14" t="inlineStr">
        <is>
          <t>Atta Ul Mustafa Saad</t>
        </is>
      </c>
      <c r="E45" s="14" t="inlineStr">
        <is>
          <t>UI/UX Designer</t>
        </is>
      </c>
      <c r="F45" s="14" t="inlineStr">
        <is>
          <t>Linknbit</t>
        </is>
      </c>
      <c r="G45" s="15" t="inlineStr">
        <is>
          <t>Week 1 Social Media Content</t>
        </is>
      </c>
      <c r="H45" s="15" t="inlineStr">
        <is>
          <t>Week 1 posts, including employee profile posts.</t>
        </is>
      </c>
      <c r="I45" s="14" t="inlineStr">
        <is>
          <t>approved</t>
        </is>
      </c>
      <c r="J45" s="9" t="n">
        <v>0</v>
      </c>
      <c r="K45" s="9" t="n">
        <v>0</v>
      </c>
      <c r="L45" s="9">
        <f>J45+K45</f>
        <v/>
      </c>
      <c r="M45" s="9" t="n">
        <v>0.4583333333333333</v>
      </c>
    </row>
    <row r="46">
      <c r="A46" s="14" t="inlineStr">
        <is>
          <t>2026-08-03</t>
        </is>
      </c>
      <c r="B46" s="14" t="inlineStr">
        <is>
          <t>Wk1  03 Aug–09 Aug</t>
        </is>
      </c>
      <c r="C46" s="14" t="inlineStr">
        <is>
          <t>Design</t>
        </is>
      </c>
      <c r="D46" s="14" t="inlineStr">
        <is>
          <t>khizer hayat</t>
        </is>
      </c>
      <c r="E46" s="14" t="inlineStr">
        <is>
          <t>CMS Developer</t>
        </is>
      </c>
      <c r="F46" s="14" t="inlineStr">
        <is>
          <t>Zedan</t>
        </is>
      </c>
      <c r="G46" s="15" t="inlineStr">
        <is>
          <t>Mega Menu</t>
        </is>
      </c>
      <c r="H46" s="15" t="inlineStr">
        <is>
          <t>Designing the dropdown menu with category images and links.</t>
        </is>
      </c>
      <c r="I46" s="14" t="inlineStr">
        <is>
          <t>completed</t>
        </is>
      </c>
      <c r="J46" s="9" t="n">
        <v>0</v>
      </c>
      <c r="K46" s="9" t="n">
        <v>0</v>
      </c>
      <c r="L46" s="9">
        <f>J46+K46</f>
        <v/>
      </c>
      <c r="M46" s="9" t="n">
        <v>0</v>
      </c>
    </row>
    <row r="47">
      <c r="A47" s="14" t="inlineStr">
        <is>
          <t>2026-08-10</t>
        </is>
      </c>
      <c r="B47" s="14" t="inlineStr">
        <is>
          <t>Wk2  10 Aug–16 Aug</t>
        </is>
      </c>
      <c r="C47" s="14" t="inlineStr">
        <is>
          <t>Design</t>
        </is>
      </c>
      <c r="D47" s="14" t="inlineStr">
        <is>
          <t>Abbas Khan</t>
        </is>
      </c>
      <c r="E47" s="14" t="inlineStr">
        <is>
          <t>CMS Developer and UI/UX Designer</t>
        </is>
      </c>
      <c r="F47" s="14" t="inlineStr">
        <is>
          <t>Zedan</t>
        </is>
      </c>
      <c r="G47" s="15" t="inlineStr">
        <is>
          <t>Generate Image</t>
        </is>
      </c>
      <c r="H47" s="15" t="inlineStr">
        <is>
          <t>Generating imagery with AI.</t>
        </is>
      </c>
      <c r="I47" s="14" t="inlineStr">
        <is>
          <t>completed</t>
        </is>
      </c>
      <c r="J47" s="9" t="n">
        <v>0.08263888888888889</v>
      </c>
      <c r="K47" s="9" t="n">
        <v>0</v>
      </c>
      <c r="L47" s="9">
        <f>J47+K47</f>
        <v/>
      </c>
      <c r="M47" s="9" t="n">
        <v>0</v>
      </c>
    </row>
    <row r="48">
      <c r="A48" s="14" t="inlineStr">
        <is>
          <t>2026-08-10</t>
        </is>
      </c>
      <c r="B48" s="14" t="inlineStr">
        <is>
          <t>Wk2  10 Aug–16 Aug</t>
        </is>
      </c>
      <c r="C48" s="14" t="inlineStr">
        <is>
          <t>Design</t>
        </is>
      </c>
      <c r="D48" s="14" t="inlineStr">
        <is>
          <t>Atta Ul Mustafa Saad</t>
        </is>
      </c>
      <c r="E48" s="14" t="inlineStr">
        <is>
          <t>UI/UX Designer</t>
        </is>
      </c>
      <c r="F48" s="14" t="inlineStr">
        <is>
          <t>Greta Grove</t>
        </is>
      </c>
      <c r="G48" s="15" t="inlineStr">
        <is>
          <t>Design SEO Pages</t>
        </is>
      </c>
      <c r="H48" s="15" t="inlineStr">
        <is>
          <t>Designing pages built specifically to rank in search.</t>
        </is>
      </c>
      <c r="I48" s="14" t="inlineStr">
        <is>
          <t>approved</t>
        </is>
      </c>
      <c r="J48" s="9" t="n">
        <v>0</v>
      </c>
      <c r="K48" s="9" t="n">
        <v>0</v>
      </c>
      <c r="L48" s="9">
        <f>J48+K48</f>
        <v/>
      </c>
      <c r="M48" s="9" t="n">
        <v>0.08333333333333333</v>
      </c>
    </row>
    <row r="49">
      <c r="A49" s="14" t="inlineStr">
        <is>
          <t>2026-08-10</t>
        </is>
      </c>
      <c r="B49" s="14" t="inlineStr">
        <is>
          <t>Wk2  10 Aug–16 Aug</t>
        </is>
      </c>
      <c r="C49" s="14" t="inlineStr">
        <is>
          <t>Design</t>
        </is>
      </c>
      <c r="D49" s="14" t="inlineStr">
        <is>
          <t>Sajawal Khan</t>
        </is>
      </c>
      <c r="E49" s="14" t="inlineStr">
        <is>
          <t>Web Content Specialist</t>
        </is>
      </c>
      <c r="F49" s="14" t="inlineStr">
        <is>
          <t>Zedan</t>
        </is>
      </c>
      <c r="G49" s="15" t="inlineStr">
        <is>
          <t>Generate Image</t>
        </is>
      </c>
      <c r="H49" s="15" t="inlineStr">
        <is>
          <t>Generating imagery with AI.</t>
        </is>
      </c>
      <c r="I49" s="14" t="inlineStr">
        <is>
          <t>completed</t>
        </is>
      </c>
      <c r="J49" s="9" t="n">
        <v>0.1520833333333333</v>
      </c>
      <c r="K49" s="9" t="n">
        <v>0</v>
      </c>
      <c r="L49" s="9">
        <f>J49+K49</f>
        <v/>
      </c>
      <c r="M49" s="9" t="n">
        <v>0</v>
      </c>
    </row>
    <row r="50">
      <c r="A50" s="14" t="inlineStr">
        <is>
          <t>2026-08-17</t>
        </is>
      </c>
      <c r="B50" s="14" t="inlineStr">
        <is>
          <t>Wk3  17 Aug–23 Aug</t>
        </is>
      </c>
      <c r="C50" s="14" t="inlineStr">
        <is>
          <t>Design</t>
        </is>
      </c>
      <c r="D50" s="14" t="inlineStr">
        <is>
          <t>Atta Ul Mustafa Saad</t>
        </is>
      </c>
      <c r="E50" s="14" t="inlineStr">
        <is>
          <t>UI/UX Designer</t>
        </is>
      </c>
      <c r="F50" s="14" t="inlineStr">
        <is>
          <t>Greta Grove</t>
        </is>
      </c>
      <c r="G50" s="15" t="inlineStr">
        <is>
          <t>Aluvo Foamex Board Change</t>
        </is>
      </c>
      <c r="H50" s="15" t="inlineStr">
        <is>
          <t>Correcting an SKU error on an Aluvo design and resupplying it.</t>
        </is>
      </c>
      <c r="I50" s="14" t="inlineStr">
        <is>
          <t>completed</t>
        </is>
      </c>
      <c r="J50" s="9" t="n">
        <v>0.02430555555555556</v>
      </c>
      <c r="K50" s="9" t="n">
        <v>0</v>
      </c>
      <c r="L50" s="9">
        <f>J50+K50</f>
        <v/>
      </c>
      <c r="M50" s="9" t="n">
        <v>0.02083333333333333</v>
      </c>
    </row>
    <row r="51">
      <c r="A51" s="14" t="inlineStr">
        <is>
          <t>2026-08-17</t>
        </is>
      </c>
      <c r="B51" s="14" t="inlineStr">
        <is>
          <t>Wk3  17 Aug–23 Aug</t>
        </is>
      </c>
      <c r="C51" s="14" t="inlineStr">
        <is>
          <t>Design</t>
        </is>
      </c>
      <c r="D51" s="14" t="inlineStr">
        <is>
          <t>Atta Ul Mustafa Saad</t>
        </is>
      </c>
      <c r="E51" s="14" t="inlineStr">
        <is>
          <t>UI/UX Designer</t>
        </is>
      </c>
      <c r="F51" s="14" t="inlineStr">
        <is>
          <t>Greta Grove</t>
        </is>
      </c>
      <c r="G51" s="15" t="inlineStr">
        <is>
          <t>CLick Sample book change</t>
        </is>
      </c>
      <c r="H51" s="15" t="inlineStr">
        <is>
          <t>Correcting the product specification on the last page.</t>
        </is>
      </c>
      <c r="I51" s="14" t="inlineStr">
        <is>
          <t>completed</t>
        </is>
      </c>
      <c r="J51" s="9" t="n">
        <v>0.001388888888888889</v>
      </c>
      <c r="K51" s="9" t="n">
        <v>0</v>
      </c>
      <c r="L51" s="9">
        <f>J51+K51</f>
        <v/>
      </c>
      <c r="M51" s="9" t="n">
        <v>0</v>
      </c>
    </row>
    <row r="52">
      <c r="A52" s="14" t="inlineStr">
        <is>
          <t>2026-08-17</t>
        </is>
      </c>
      <c r="B52" s="14" t="inlineStr">
        <is>
          <t>Wk3  17 Aug–23 Aug</t>
        </is>
      </c>
      <c r="C52" s="14" t="inlineStr">
        <is>
          <t>Design</t>
        </is>
      </c>
      <c r="D52" s="14" t="inlineStr">
        <is>
          <t>Atta Ul Mustafa Saad</t>
        </is>
      </c>
      <c r="E52" s="14" t="inlineStr">
        <is>
          <t>UI/UX Designer</t>
        </is>
      </c>
      <c r="F52" s="14" t="inlineStr">
        <is>
          <t>Linknbit</t>
        </is>
      </c>
      <c r="G52" s="15" t="inlineStr">
        <is>
          <t>Case Studies Design</t>
        </is>
      </c>
      <c r="H52" s="15" t="inlineStr">
        <is>
          <t>Designing the case-study pages for our own marketing.</t>
        </is>
      </c>
      <c r="I52" s="14" t="inlineStr">
        <is>
          <t>in_progress</t>
        </is>
      </c>
      <c r="J52" s="9" t="n">
        <v>0.1701388888888889</v>
      </c>
      <c r="K52" s="9" t="n">
        <v>0</v>
      </c>
      <c r="L52" s="9">
        <f>J52+K52</f>
        <v/>
      </c>
      <c r="M52" s="9" t="n">
        <v>1.25</v>
      </c>
    </row>
    <row r="53">
      <c r="A53" s="14" t="inlineStr">
        <is>
          <t>2026-08-17</t>
        </is>
      </c>
      <c r="B53" s="14" t="inlineStr">
        <is>
          <t>Wk3  17 Aug–23 Aug</t>
        </is>
      </c>
      <c r="C53" s="14" t="inlineStr">
        <is>
          <t>Design</t>
        </is>
      </c>
      <c r="D53" s="14" t="inlineStr">
        <is>
          <t>Atta Ul Mustafa Saad</t>
        </is>
      </c>
      <c r="E53" s="14" t="inlineStr">
        <is>
          <t>UI/UX Designer</t>
        </is>
      </c>
      <c r="F53" s="14" t="inlineStr">
        <is>
          <t>Greta Grove</t>
        </is>
      </c>
      <c r="G53" s="15" t="inlineStr">
        <is>
          <t>Change sample book pages order</t>
        </is>
      </c>
      <c r="H53" s="15" t="inlineStr">
        <is>
          <t>Reordering the pages in the sample book.</t>
        </is>
      </c>
      <c r="I53" s="14" t="inlineStr">
        <is>
          <t>completed</t>
        </is>
      </c>
      <c r="J53" s="9" t="n">
        <v>0.01944444444444444</v>
      </c>
      <c r="K53" s="9" t="n">
        <v>0</v>
      </c>
      <c r="L53" s="9">
        <f>J53+K53</f>
        <v/>
      </c>
      <c r="M53" s="9" t="n">
        <v>0.02083333333333333</v>
      </c>
    </row>
    <row r="54">
      <c r="A54" s="14" t="inlineStr">
        <is>
          <t>2026-08-17</t>
        </is>
      </c>
      <c r="B54" s="14" t="inlineStr">
        <is>
          <t>Wk3  17 Aug–23 Aug</t>
        </is>
      </c>
      <c r="C54" s="14" t="inlineStr">
        <is>
          <t>Design</t>
        </is>
      </c>
      <c r="D54" s="14" t="inlineStr">
        <is>
          <t>Atta Ul Mustafa Saad</t>
        </is>
      </c>
      <c r="E54" s="14" t="inlineStr">
        <is>
          <t>UI/UX Designer</t>
        </is>
      </c>
      <c r="F54" s="14" t="inlineStr">
        <is>
          <t>Greta Grove</t>
        </is>
      </c>
      <c r="G54" s="15" t="inlineStr">
        <is>
          <t>Co-Extrusion Composite Decking labels</t>
        </is>
      </c>
      <c r="H54" s="15" t="inlineStr">
        <is>
          <t>Creating labels for the composite decking range.</t>
        </is>
      </c>
      <c r="I54" s="14" t="inlineStr">
        <is>
          <t>completed</t>
        </is>
      </c>
      <c r="J54" s="9" t="n">
        <v>0.003472222222222222</v>
      </c>
      <c r="K54" s="9" t="n">
        <v>0</v>
      </c>
      <c r="L54" s="9">
        <f>J54+K54</f>
        <v/>
      </c>
      <c r="M54" s="9" t="n">
        <v>0</v>
      </c>
    </row>
    <row r="55">
      <c r="A55" s="14" t="inlineStr">
        <is>
          <t>2026-08-17</t>
        </is>
      </c>
      <c r="B55" s="14" t="inlineStr">
        <is>
          <t>Wk3  17 Aug–23 Aug</t>
        </is>
      </c>
      <c r="C55" s="14" t="inlineStr">
        <is>
          <t>Design</t>
        </is>
      </c>
      <c r="D55" s="14" t="inlineStr">
        <is>
          <t>Atta Ul Mustafa Saad</t>
        </is>
      </c>
      <c r="E55" s="14" t="inlineStr">
        <is>
          <t>UI/UX Designer</t>
        </is>
      </c>
      <c r="F55" s="14" t="inlineStr">
        <is>
          <t>Neowall</t>
        </is>
      </c>
      <c r="G55" s="15" t="inlineStr">
        <is>
          <t>Collection Page</t>
        </is>
      </c>
      <c r="H55" s="15" t="inlineStr">
        <is>
          <t>Changing the collection page to a full lifestyle image with overlaid text.</t>
        </is>
      </c>
      <c r="I55" s="14" t="inlineStr">
        <is>
          <t>completed</t>
        </is>
      </c>
      <c r="J55" s="9" t="n">
        <v>0.009027777777777777</v>
      </c>
      <c r="K55" s="9" t="n">
        <v>0</v>
      </c>
      <c r="L55" s="9">
        <f>J55+K55</f>
        <v/>
      </c>
      <c r="M55" s="9" t="n">
        <v>0.02083333333333333</v>
      </c>
    </row>
    <row r="56">
      <c r="A56" s="14" t="inlineStr">
        <is>
          <t>2026-08-17</t>
        </is>
      </c>
      <c r="B56" s="14" t="inlineStr">
        <is>
          <t>Wk3  17 Aug–23 Aug</t>
        </is>
      </c>
      <c r="C56" s="14" t="inlineStr">
        <is>
          <t>Design</t>
        </is>
      </c>
      <c r="D56" s="14" t="inlineStr">
        <is>
          <t>Atta Ul Mustafa Saad</t>
        </is>
      </c>
      <c r="E56" s="14" t="inlineStr">
        <is>
          <t>UI/UX Designer</t>
        </is>
      </c>
      <c r="F56" s="14" t="inlineStr">
        <is>
          <t>Greta Grove</t>
        </is>
      </c>
      <c r="G56" s="15" t="inlineStr">
        <is>
          <t>Logos</t>
        </is>
      </c>
      <c r="H56" s="15" t="inlineStr">
        <is>
          <t>Sharing the Froggit, Aluvo and Vellura logos.</t>
        </is>
      </c>
      <c r="I56" s="14" t="inlineStr">
        <is>
          <t>completed</t>
        </is>
      </c>
      <c r="J56" s="9" t="n">
        <v>0.002777777777777778</v>
      </c>
      <c r="K56" s="9" t="n">
        <v>0</v>
      </c>
      <c r="L56" s="9">
        <f>J56+K56</f>
        <v/>
      </c>
      <c r="M56" s="9" t="n">
        <v>0</v>
      </c>
    </row>
    <row r="57">
      <c r="A57" s="14" t="inlineStr">
        <is>
          <t>2026-08-17</t>
        </is>
      </c>
      <c r="B57" s="14" t="inlineStr">
        <is>
          <t>Wk3  17 Aug–23 Aug</t>
        </is>
      </c>
      <c r="C57" s="14" t="inlineStr">
        <is>
          <t>Design</t>
        </is>
      </c>
      <c r="D57" s="14" t="inlineStr">
        <is>
          <t>Atta Ul Mustafa Saad</t>
        </is>
      </c>
      <c r="E57" s="14" t="inlineStr">
        <is>
          <t>UI/UX Designer</t>
        </is>
      </c>
      <c r="F57" s="14" t="inlineStr">
        <is>
          <t>Linknbit</t>
        </is>
      </c>
      <c r="G57" s="15" t="inlineStr">
        <is>
          <t>Week 1 Social Media Content</t>
        </is>
      </c>
      <c r="H57" s="15" t="inlineStr">
        <is>
          <t>Week 1 posts, including employee profile posts.</t>
        </is>
      </c>
      <c r="I57" s="14" t="inlineStr">
        <is>
          <t>approved</t>
        </is>
      </c>
      <c r="J57" s="9" t="n">
        <v>0</v>
      </c>
      <c r="K57" s="9" t="n">
        <v>0</v>
      </c>
      <c r="L57" s="9">
        <f>J57+K57</f>
        <v/>
      </c>
      <c r="M57" s="9" t="n">
        <v>0.08333333333333333</v>
      </c>
    </row>
    <row r="58">
      <c r="A58" s="14" t="inlineStr">
        <is>
          <t>2026-08-17</t>
        </is>
      </c>
      <c r="B58" s="14" t="inlineStr">
        <is>
          <t>Wk3  17 Aug–23 Aug</t>
        </is>
      </c>
      <c r="C58" s="14" t="inlineStr">
        <is>
          <t>Design</t>
        </is>
      </c>
      <c r="D58" s="14" t="inlineStr">
        <is>
          <t>Maaz Tareen</t>
        </is>
      </c>
      <c r="E58" s="14" t="inlineStr">
        <is>
          <t>UI/UX Designer</t>
        </is>
      </c>
      <c r="F58" s="14" t="inlineStr">
        <is>
          <t>Zedan</t>
        </is>
      </c>
      <c r="G58" s="15" t="inlineStr">
        <is>
          <t>Clearance Sale Zedan</t>
        </is>
      </c>
      <c r="H58" s="15" t="inlineStr">
        <is>
          <t>Running the Zedan clearance sale.</t>
        </is>
      </c>
      <c r="I58" s="14" t="inlineStr">
        <is>
          <t>approved</t>
        </is>
      </c>
      <c r="J58" s="9" t="n">
        <v>0</v>
      </c>
      <c r="K58" s="9" t="n">
        <v>0</v>
      </c>
      <c r="L58" s="9">
        <f>J58+K58</f>
        <v/>
      </c>
      <c r="M58" s="9" t="n">
        <v>0.2083333333333333</v>
      </c>
    </row>
    <row r="59">
      <c r="A59" s="14" t="inlineStr">
        <is>
          <t>2026-08-17</t>
        </is>
      </c>
      <c r="B59" s="14" t="inlineStr">
        <is>
          <t>Wk3  17 Aug–23 Aug</t>
        </is>
      </c>
      <c r="C59" s="14" t="inlineStr">
        <is>
          <t>Design</t>
        </is>
      </c>
      <c r="D59" s="14" t="inlineStr">
        <is>
          <t>Sajawal Khan</t>
        </is>
      </c>
      <c r="E59" s="14" t="inlineStr">
        <is>
          <t>Web Content Specialist</t>
        </is>
      </c>
      <c r="F59" s="14" t="inlineStr">
        <is>
          <t>Neowall</t>
        </is>
      </c>
      <c r="G59" s="15" t="inlineStr">
        <is>
          <t>Collection Page</t>
        </is>
      </c>
      <c r="H59" s="15" t="inlineStr">
        <is>
          <t>Changing the collection page to a full lifestyle image with overlaid text.</t>
        </is>
      </c>
      <c r="I59" s="14" t="inlineStr">
        <is>
          <t>completed</t>
        </is>
      </c>
      <c r="J59" s="9" t="n">
        <v>0</v>
      </c>
      <c r="K59" s="9" t="n">
        <v>0</v>
      </c>
      <c r="L59" s="9">
        <f>J59+K59</f>
        <v/>
      </c>
      <c r="M59" s="9" t="n">
        <v>0.125</v>
      </c>
    </row>
    <row r="60">
      <c r="A60" s="14" t="inlineStr">
        <is>
          <t>2026-08-24</t>
        </is>
      </c>
      <c r="B60" s="14" t="inlineStr">
        <is>
          <t>Wk4  24 Aug–30 Aug</t>
        </is>
      </c>
      <c r="C60" s="14" t="inlineStr">
        <is>
          <t>Design</t>
        </is>
      </c>
      <c r="D60" s="14" t="inlineStr">
        <is>
          <t>Atta Ul Mustafa Saad</t>
        </is>
      </c>
      <c r="E60" s="14" t="inlineStr">
        <is>
          <t>UI/UX Designer</t>
        </is>
      </c>
      <c r="F60" s="14" t="inlineStr">
        <is>
          <t>Greta Grove</t>
        </is>
      </c>
      <c r="G60" s="15" t="inlineStr">
        <is>
          <t>Ad Creatives</t>
        </is>
      </c>
      <c r="H60" s="15" t="inlineStr">
        <is>
          <t>Google Ads drafts and switcher creatives.</t>
        </is>
      </c>
      <c r="I60" s="14" t="inlineStr">
        <is>
          <t>review</t>
        </is>
      </c>
      <c r="J60" s="9" t="n">
        <v>0.08611111111111111</v>
      </c>
      <c r="K60" s="9" t="n">
        <v>0</v>
      </c>
      <c r="L60" s="9">
        <f>J60+K60</f>
        <v/>
      </c>
      <c r="M60" s="9" t="n">
        <v>0.08333333333333333</v>
      </c>
    </row>
    <row r="61">
      <c r="A61" s="14" t="inlineStr">
        <is>
          <t>2026-08-24</t>
        </is>
      </c>
      <c r="B61" s="14" t="inlineStr">
        <is>
          <t>Wk4  24 Aug–30 Aug</t>
        </is>
      </c>
      <c r="C61" s="14" t="inlineStr">
        <is>
          <t>Design</t>
        </is>
      </c>
      <c r="D61" s="14" t="inlineStr">
        <is>
          <t>Atta Ul Mustafa Saad</t>
        </is>
      </c>
      <c r="E61" s="14" t="inlineStr">
        <is>
          <t>UI/UX Designer</t>
        </is>
      </c>
      <c r="F61" s="14" t="inlineStr">
        <is>
          <t>Linknbit</t>
        </is>
      </c>
      <c r="G61" s="15" t="inlineStr">
        <is>
          <t>August Birthday Dump Carousel for Linknbit</t>
        </is>
      </c>
      <c r="H61" s="15" t="inlineStr">
        <is>
          <t>An August birthdays carousel post for our own socials.</t>
        </is>
      </c>
      <c r="I61" s="14" t="inlineStr">
        <is>
          <t>approved</t>
        </is>
      </c>
      <c r="J61" s="9" t="n">
        <v>0.2083333333333333</v>
      </c>
      <c r="K61" s="9" t="n">
        <v>0</v>
      </c>
      <c r="L61" s="9">
        <f>J61+K61</f>
        <v/>
      </c>
      <c r="M61" s="9" t="n">
        <v>0.2083333333333333</v>
      </c>
    </row>
    <row r="62">
      <c r="A62" s="14" t="inlineStr">
        <is>
          <t>2026-08-24</t>
        </is>
      </c>
      <c r="B62" s="14" t="inlineStr">
        <is>
          <t>Wk4  24 Aug–30 Aug</t>
        </is>
      </c>
      <c r="C62" s="14" t="inlineStr">
        <is>
          <t>Design</t>
        </is>
      </c>
      <c r="D62" s="14" t="inlineStr">
        <is>
          <t>Atta Ul Mustafa Saad</t>
        </is>
      </c>
      <c r="E62" s="14" t="inlineStr">
        <is>
          <t>UI/UX Designer</t>
        </is>
      </c>
      <c r="F62" s="14" t="inlineStr">
        <is>
          <t>Greta Grove</t>
        </is>
      </c>
      <c r="G62" s="15" t="inlineStr">
        <is>
          <t>Create Labels as JPEG or PNG</t>
        </is>
      </c>
      <c r="H62" s="15" t="inlineStr">
        <is>
          <t>Exporting product labels as clean image files.</t>
        </is>
      </c>
      <c r="I62" s="14" t="inlineStr">
        <is>
          <t>completed</t>
        </is>
      </c>
      <c r="J62" s="9" t="n">
        <v>0.06527777777777778</v>
      </c>
      <c r="K62" s="9" t="n">
        <v>0</v>
      </c>
      <c r="L62" s="9">
        <f>J62+K62</f>
        <v/>
      </c>
      <c r="M62" s="9" t="n">
        <v>0.05208333333333334</v>
      </c>
    </row>
    <row r="63">
      <c r="A63" s="14" t="inlineStr">
        <is>
          <t>2026-08-24</t>
        </is>
      </c>
      <c r="B63" s="14" t="inlineStr">
        <is>
          <t>Wk4  24 Aug–30 Aug</t>
        </is>
      </c>
      <c r="C63" s="14" t="inlineStr">
        <is>
          <t>Design</t>
        </is>
      </c>
      <c r="D63" s="14" t="inlineStr">
        <is>
          <t>Atta Ul Mustafa Saad</t>
        </is>
      </c>
      <c r="E63" s="14" t="inlineStr">
        <is>
          <t>UI/UX Designer</t>
        </is>
      </c>
      <c r="F63" s="14" t="inlineStr">
        <is>
          <t>Neowall</t>
        </is>
      </c>
      <c r="G63" s="15" t="inlineStr">
        <is>
          <t>Indoor Product Ads  (Winter Push)</t>
        </is>
      </c>
      <c r="H63" s="15" t="inlineStr">
        <is>
          <t>Ad creatives for the winter indoor-product campaign.</t>
        </is>
      </c>
      <c r="I63" s="14" t="inlineStr">
        <is>
          <t>approved</t>
        </is>
      </c>
      <c r="J63" s="9" t="n">
        <v>0.004861111111111111</v>
      </c>
      <c r="K63" s="9" t="n">
        <v>0</v>
      </c>
      <c r="L63" s="9">
        <f>J63+K63</f>
        <v/>
      </c>
      <c r="M63" s="9" t="n">
        <v>0</v>
      </c>
    </row>
    <row r="64">
      <c r="A64" s="14" t="inlineStr">
        <is>
          <t>2026-08-24</t>
        </is>
      </c>
      <c r="B64" s="14" t="inlineStr">
        <is>
          <t>Wk4  24 Aug–30 Aug</t>
        </is>
      </c>
      <c r="C64" s="14" t="inlineStr">
        <is>
          <t>Design</t>
        </is>
      </c>
      <c r="D64" s="14" t="inlineStr">
        <is>
          <t>Atta Ul Mustafa Saad</t>
        </is>
      </c>
      <c r="E64" s="14" t="inlineStr">
        <is>
          <t>UI/UX Designer</t>
        </is>
      </c>
      <c r="F64" s="14" t="inlineStr">
        <is>
          <t>Greta Grove</t>
        </is>
      </c>
      <c r="G64" s="15" t="inlineStr">
        <is>
          <t>Neowall Outdoor Sample Boxes</t>
        </is>
      </c>
      <c r="H64" s="15" t="inlineStr">
        <is>
          <t>Changing the outdoor sample box dimensions.</t>
        </is>
      </c>
      <c r="I64" s="14" t="inlineStr">
        <is>
          <t>approved</t>
        </is>
      </c>
      <c r="J64" s="9" t="n">
        <v>0.10625</v>
      </c>
      <c r="K64" s="9" t="n">
        <v>0</v>
      </c>
      <c r="L64" s="9">
        <f>J64+K64</f>
        <v/>
      </c>
      <c r="M64" s="9" t="n">
        <v>0</v>
      </c>
    </row>
    <row r="65">
      <c r="A65" s="14" t="inlineStr">
        <is>
          <t>2026-08-24</t>
        </is>
      </c>
      <c r="B65" s="14" t="inlineStr">
        <is>
          <t>Wk4  24 Aug–30 Aug</t>
        </is>
      </c>
      <c r="C65" s="14" t="inlineStr">
        <is>
          <t>Design</t>
        </is>
      </c>
      <c r="D65" s="14" t="inlineStr">
        <is>
          <t>Atta Ul Mustafa Saad</t>
        </is>
      </c>
      <c r="E65" s="14" t="inlineStr">
        <is>
          <t>UI/UX Designer</t>
        </is>
      </c>
      <c r="F65" s="14" t="inlineStr">
        <is>
          <t>Greta Grove</t>
        </is>
      </c>
      <c r="G65" s="15" t="inlineStr">
        <is>
          <t>Upload Logos to Drive</t>
        </is>
      </c>
      <c r="H65" s="15" t="inlineStr">
        <is>
          <t>Uploading all sub-brand logos to the shared Drive.</t>
        </is>
      </c>
      <c r="I65" s="14" t="inlineStr">
        <is>
          <t>completed</t>
        </is>
      </c>
      <c r="J65" s="9" t="n">
        <v>0.04305555555555556</v>
      </c>
      <c r="K65" s="9" t="n">
        <v>0</v>
      </c>
      <c r="L65" s="9">
        <f>J65+K65</f>
        <v/>
      </c>
      <c r="M65" s="9" t="n">
        <v>0.08333333333333333</v>
      </c>
    </row>
    <row r="66">
      <c r="A66" s="14" t="inlineStr">
        <is>
          <t>2026-08-24</t>
        </is>
      </c>
      <c r="B66" s="14" t="inlineStr">
        <is>
          <t>Wk4  24 Aug–30 Aug</t>
        </is>
      </c>
      <c r="C66" s="14" t="inlineStr">
        <is>
          <t>Design</t>
        </is>
      </c>
      <c r="D66" s="14" t="inlineStr">
        <is>
          <t>Atta Ul Mustafa Saad</t>
        </is>
      </c>
      <c r="E66" s="14" t="inlineStr">
        <is>
          <t>UI/UX Designer</t>
        </is>
      </c>
      <c r="F66" s="14" t="inlineStr">
        <is>
          <t>Capital Car Finance (CCF)</t>
        </is>
      </c>
      <c r="G66" s="15" t="inlineStr">
        <is>
          <t>Warrenty Product Page Design</t>
        </is>
      </c>
      <c r="H66" s="15" t="inlineStr">
        <is>
          <t>Designing the new warranty page.</t>
        </is>
      </c>
      <c r="I66" s="14" t="inlineStr">
        <is>
          <t>completed</t>
        </is>
      </c>
      <c r="J66" s="9" t="n">
        <v>0.1569444444444444</v>
      </c>
      <c r="K66" s="9" t="n">
        <v>0.0625</v>
      </c>
      <c r="L66" s="9">
        <f>J66+K66</f>
        <v/>
      </c>
      <c r="M66" s="9" t="n">
        <v>0.0625</v>
      </c>
    </row>
    <row r="67">
      <c r="A67" s="14" t="inlineStr">
        <is>
          <t>2026-08-24</t>
        </is>
      </c>
      <c r="B67" s="14" t="inlineStr">
        <is>
          <t>Wk4  24 Aug–30 Aug</t>
        </is>
      </c>
      <c r="C67" s="14" t="inlineStr">
        <is>
          <t>Design</t>
        </is>
      </c>
      <c r="D67" s="14" t="inlineStr">
        <is>
          <t>Atta Ul Mustafa Saad</t>
        </is>
      </c>
      <c r="E67" s="14" t="inlineStr">
        <is>
          <t>UI/UX Designer</t>
        </is>
      </c>
      <c r="F67" s="14" t="inlineStr">
        <is>
          <t>Linknbit</t>
        </is>
      </c>
      <c r="G67" s="15" t="inlineStr">
        <is>
          <t>Website Design</t>
        </is>
      </c>
      <c r="H67" s="15" t="inlineStr">
        <is>
          <t>Designing the new Linknbit company website.</t>
        </is>
      </c>
      <c r="I67" s="14" t="inlineStr">
        <is>
          <t>review</t>
        </is>
      </c>
      <c r="J67" s="9" t="n">
        <v>0.2270833333333333</v>
      </c>
      <c r="K67" s="9" t="n">
        <v>0.05208333333333334</v>
      </c>
      <c r="L67" s="9">
        <f>J67+K67</f>
        <v/>
      </c>
      <c r="M67" s="9" t="n">
        <v>0.3333333333333333</v>
      </c>
    </row>
    <row r="68">
      <c r="A68" s="14" t="inlineStr">
        <is>
          <t>2026-08-24</t>
        </is>
      </c>
      <c r="B68" s="14" t="inlineStr">
        <is>
          <t>Wk4  24 Aug–30 Aug</t>
        </is>
      </c>
      <c r="C68" s="14" t="inlineStr">
        <is>
          <t>Design</t>
        </is>
      </c>
      <c r="D68" s="14" t="inlineStr">
        <is>
          <t>Maaz Tareen</t>
        </is>
      </c>
      <c r="E68" s="14" t="inlineStr">
        <is>
          <t>UI/UX Designer</t>
        </is>
      </c>
      <c r="F68" s="14" t="inlineStr">
        <is>
          <t>Linknbit</t>
        </is>
      </c>
      <c r="G68" s="15" t="inlineStr">
        <is>
          <t>August Birthday Dump Carousel for Linknbit</t>
        </is>
      </c>
      <c r="H68" s="15" t="inlineStr">
        <is>
          <t>An August birthdays carousel post for our own socials.</t>
        </is>
      </c>
      <c r="I68" s="14" t="inlineStr">
        <is>
          <t>approved</t>
        </is>
      </c>
      <c r="J68" s="9" t="n">
        <v>0.1423611111111111</v>
      </c>
      <c r="K68" s="9" t="n">
        <v>0</v>
      </c>
      <c r="L68" s="9">
        <f>J68+K68</f>
        <v/>
      </c>
      <c r="M68" s="9" t="n">
        <v>0.2083333333333333</v>
      </c>
    </row>
    <row r="69">
      <c r="A69" s="14" t="inlineStr">
        <is>
          <t>2026-08-24</t>
        </is>
      </c>
      <c r="B69" s="14" t="inlineStr">
        <is>
          <t>Wk4  24 Aug–30 Aug</t>
        </is>
      </c>
      <c r="C69" s="14" t="inlineStr">
        <is>
          <t>Design</t>
        </is>
      </c>
      <c r="D69" s="14" t="inlineStr">
        <is>
          <t>Maaz Tareen</t>
        </is>
      </c>
      <c r="E69" s="14" t="inlineStr">
        <is>
          <t>UI/UX Designer</t>
        </is>
      </c>
      <c r="F69" s="14" t="inlineStr">
        <is>
          <t>MAQx</t>
        </is>
      </c>
      <c r="G69" s="15" t="inlineStr">
        <is>
          <t>Hiring Post Design (CELTA-QUALIFIED TEACHER)</t>
        </is>
      </c>
      <c r="H69" s="15" t="inlineStr">
        <is>
          <t>A recruitment post for a CELTA-qualified teacher.</t>
        </is>
      </c>
      <c r="I69" s="14" t="inlineStr">
        <is>
          <t>approved</t>
        </is>
      </c>
      <c r="J69" s="9" t="n">
        <v>0.02291666666666667</v>
      </c>
      <c r="K69" s="9" t="n">
        <v>0.1145833333333333</v>
      </c>
      <c r="L69" s="9">
        <f>J69+K69</f>
        <v/>
      </c>
      <c r="M69" s="9" t="n">
        <v>0.1666666666666667</v>
      </c>
    </row>
    <row r="70">
      <c r="A70" s="14" t="inlineStr">
        <is>
          <t>2026-08-24</t>
        </is>
      </c>
      <c r="B70" s="14" t="inlineStr">
        <is>
          <t>Wk4  24 Aug–30 Aug</t>
        </is>
      </c>
      <c r="C70" s="14" t="inlineStr">
        <is>
          <t>Design</t>
        </is>
      </c>
      <c r="D70" s="14" t="inlineStr">
        <is>
          <t>Maaz Tareen</t>
        </is>
      </c>
      <c r="E70" s="14" t="inlineStr">
        <is>
          <t>UI/UX Designer</t>
        </is>
      </c>
      <c r="F70" s="14" t="inlineStr">
        <is>
          <t>Linknbit</t>
        </is>
      </c>
      <c r="G70" s="15" t="inlineStr">
        <is>
          <t>New Hiring Post</t>
        </is>
      </c>
      <c r="H70" s="15" t="inlineStr">
        <is>
          <t>Designing a post to recruit two design interns.</t>
        </is>
      </c>
      <c r="I70" s="14" t="inlineStr">
        <is>
          <t>approved</t>
        </is>
      </c>
      <c r="J70" s="9" t="n">
        <v>0.04652777777777778</v>
      </c>
      <c r="K70" s="9" t="n">
        <v>0</v>
      </c>
      <c r="L70" s="9">
        <f>J70+K70</f>
        <v/>
      </c>
      <c r="M70" s="9" t="n">
        <v>0.04166666666666666</v>
      </c>
    </row>
    <row r="71">
      <c r="A71" s="14" t="inlineStr">
        <is>
          <t>2026-08-24</t>
        </is>
      </c>
      <c r="B71" s="14" t="inlineStr">
        <is>
          <t>Wk4  24 Aug–30 Aug</t>
        </is>
      </c>
      <c r="C71" s="14" t="inlineStr">
        <is>
          <t>Design</t>
        </is>
      </c>
      <c r="D71" s="14" t="inlineStr">
        <is>
          <t>Maaz Tareen</t>
        </is>
      </c>
      <c r="E71" s="14" t="inlineStr">
        <is>
          <t>UI/UX Designer</t>
        </is>
      </c>
      <c r="F71" s="14" t="inlineStr">
        <is>
          <t>Linknbit</t>
        </is>
      </c>
      <c r="G71" s="15" t="inlineStr">
        <is>
          <t>Website Design</t>
        </is>
      </c>
      <c r="H71" s="15" t="inlineStr">
        <is>
          <t>Designing the new Linknbit company website.</t>
        </is>
      </c>
      <c r="I71" s="14" t="inlineStr">
        <is>
          <t>review</t>
        </is>
      </c>
      <c r="J71" s="9" t="n">
        <v>0</v>
      </c>
      <c r="K71" s="9" t="n">
        <v>0</v>
      </c>
      <c r="L71" s="9">
        <f>J71+K71</f>
        <v/>
      </c>
      <c r="M71" s="9" t="n">
        <v>0.04166666666666666</v>
      </c>
    </row>
    <row r="72">
      <c r="A72" s="14" t="inlineStr">
        <is>
          <t>2026-08-31</t>
        </is>
      </c>
      <c r="B72" s="14" t="inlineStr">
        <is>
          <t>Wk5  31 Aug–06 Sep</t>
        </is>
      </c>
      <c r="C72" s="14" t="inlineStr">
        <is>
          <t>Design</t>
        </is>
      </c>
      <c r="D72" s="14" t="inlineStr">
        <is>
          <t>Abbas Khan</t>
        </is>
      </c>
      <c r="E72" s="14" t="inlineStr">
        <is>
          <t>CMS Developer and UI/UX Designer</t>
        </is>
      </c>
      <c r="F72" s="14" t="inlineStr">
        <is>
          <t>Linknbit</t>
        </is>
      </c>
      <c r="G72" s="15" t="inlineStr">
        <is>
          <t>Footer design + Remaining linknbit page</t>
        </is>
      </c>
      <c r="H72" s="15" t="inlineStr">
        <is>
          <t>Designing the footer and the remaining site pages.</t>
        </is>
      </c>
      <c r="I72" s="14" t="inlineStr">
        <is>
          <t>approved</t>
        </is>
      </c>
      <c r="J72" s="9" t="n">
        <v>0.01388888888888889</v>
      </c>
      <c r="K72" s="9" t="n">
        <v>0</v>
      </c>
      <c r="L72" s="9">
        <f>J72+K72</f>
        <v/>
      </c>
      <c r="M72" s="9" t="n">
        <v>0</v>
      </c>
    </row>
    <row r="73">
      <c r="A73" s="14" t="inlineStr">
        <is>
          <t>2026-08-31</t>
        </is>
      </c>
      <c r="B73" s="14" t="inlineStr">
        <is>
          <t>Wk5  31 Aug–06 Sep</t>
        </is>
      </c>
      <c r="C73" s="14" t="inlineStr">
        <is>
          <t>Design</t>
        </is>
      </c>
      <c r="D73" s="14" t="inlineStr">
        <is>
          <t>Atta Ul Mustafa Saad</t>
        </is>
      </c>
      <c r="E73" s="14" t="inlineStr">
        <is>
          <t>UI/UX Designer</t>
        </is>
      </c>
      <c r="F73" s="14" t="inlineStr">
        <is>
          <t>Greta Grove</t>
        </is>
      </c>
      <c r="G73" s="15" t="inlineStr">
        <is>
          <t>Ad Creatives</t>
        </is>
      </c>
      <c r="H73" s="15" t="inlineStr">
        <is>
          <t>Google Ads drafts and switcher creatives.</t>
        </is>
      </c>
      <c r="I73" s="14" t="inlineStr">
        <is>
          <t>review</t>
        </is>
      </c>
      <c r="J73" s="9" t="n">
        <v>0.09930555555555555</v>
      </c>
      <c r="K73" s="9" t="n">
        <v>0</v>
      </c>
      <c r="L73" s="9">
        <f>J73+K73</f>
        <v/>
      </c>
      <c r="M73" s="9" t="n">
        <v>0.1</v>
      </c>
    </row>
    <row r="74">
      <c r="A74" s="14" t="inlineStr">
        <is>
          <t>2026-08-31</t>
        </is>
      </c>
      <c r="B74" s="14" t="inlineStr">
        <is>
          <t>Wk5  31 Aug–06 Sep</t>
        </is>
      </c>
      <c r="C74" s="14" t="inlineStr">
        <is>
          <t>Design</t>
        </is>
      </c>
      <c r="D74" s="14" t="inlineStr">
        <is>
          <t>Atta Ul Mustafa Saad</t>
        </is>
      </c>
      <c r="E74" s="14" t="inlineStr">
        <is>
          <t>UI/UX Designer</t>
        </is>
      </c>
      <c r="F74" s="14" t="inlineStr">
        <is>
          <t>Greta Grove</t>
        </is>
      </c>
      <c r="G74" s="15" t="inlineStr">
        <is>
          <t>Aluvo Sample Books</t>
        </is>
      </c>
      <c r="H74" s="15" t="inlineStr">
        <is>
          <t>Reworking the Aluvo sample book to new dimensions.</t>
        </is>
      </c>
      <c r="I74" s="14" t="inlineStr">
        <is>
          <t>todo</t>
        </is>
      </c>
      <c r="J74" s="9" t="n">
        <v>0.08194444444444444</v>
      </c>
      <c r="K74" s="9" t="n">
        <v>0</v>
      </c>
      <c r="L74" s="9">
        <f>J74+K74</f>
        <v/>
      </c>
      <c r="M74" s="9" t="n">
        <v>0.08194444444444444</v>
      </c>
    </row>
    <row r="75">
      <c r="A75" s="14" t="inlineStr">
        <is>
          <t>2026-08-31</t>
        </is>
      </c>
      <c r="B75" s="14" t="inlineStr">
        <is>
          <t>Wk5  31 Aug–06 Sep</t>
        </is>
      </c>
      <c r="C75" s="14" t="inlineStr">
        <is>
          <t>Design</t>
        </is>
      </c>
      <c r="D75" s="14" t="inlineStr">
        <is>
          <t>Atta Ul Mustafa Saad</t>
        </is>
      </c>
      <c r="E75" s="14" t="inlineStr">
        <is>
          <t>UI/UX Designer</t>
        </is>
      </c>
      <c r="F75" s="14" t="inlineStr">
        <is>
          <t>Linknbit</t>
        </is>
      </c>
      <c r="G75" s="15" t="inlineStr">
        <is>
          <t>August Birthday Dump Carousel for Linknbit</t>
        </is>
      </c>
      <c r="H75" s="15" t="inlineStr">
        <is>
          <t>An August birthdays carousel post for our own socials.</t>
        </is>
      </c>
      <c r="I75" s="14" t="inlineStr">
        <is>
          <t>approved</t>
        </is>
      </c>
      <c r="J75" s="9" t="n">
        <v>0.01111111111111111</v>
      </c>
      <c r="K75" s="9" t="n">
        <v>0</v>
      </c>
      <c r="L75" s="9">
        <f>J75+K75</f>
        <v/>
      </c>
      <c r="M75" s="9" t="n">
        <v>0.08263888888888889</v>
      </c>
    </row>
    <row r="76">
      <c r="A76" s="14" t="inlineStr">
        <is>
          <t>2026-08-31</t>
        </is>
      </c>
      <c r="B76" s="14" t="inlineStr">
        <is>
          <t>Wk5  31 Aug–06 Sep</t>
        </is>
      </c>
      <c r="C76" s="14" t="inlineStr">
        <is>
          <t>Design</t>
        </is>
      </c>
      <c r="D76" s="14" t="inlineStr">
        <is>
          <t>Atta Ul Mustafa Saad</t>
        </is>
      </c>
      <c r="E76" s="14" t="inlineStr">
        <is>
          <t>UI/UX Designer</t>
        </is>
      </c>
      <c r="F76" s="14" t="inlineStr">
        <is>
          <t>Neowall</t>
        </is>
      </c>
      <c r="G76" s="15" t="inlineStr">
        <is>
          <t>Indoor Product Ads  (Winter Push)</t>
        </is>
      </c>
      <c r="H76" s="15" t="inlineStr">
        <is>
          <t>Ad creatives for the winter indoor-product campaign.</t>
        </is>
      </c>
      <c r="I76" s="14" t="inlineStr">
        <is>
          <t>approved</t>
        </is>
      </c>
      <c r="J76" s="9" t="n">
        <v>0.43125</v>
      </c>
      <c r="K76" s="9" t="n">
        <v>0</v>
      </c>
      <c r="L76" s="9">
        <f>J76+K76</f>
        <v/>
      </c>
      <c r="M76" s="9" t="n">
        <v>0.4006944444444445</v>
      </c>
    </row>
    <row r="77">
      <c r="A77" s="14" t="inlineStr">
        <is>
          <t>2026-08-31</t>
        </is>
      </c>
      <c r="B77" s="14" t="inlineStr">
        <is>
          <t>Wk5  31 Aug–06 Sep</t>
        </is>
      </c>
      <c r="C77" s="14" t="inlineStr">
        <is>
          <t>Design</t>
        </is>
      </c>
      <c r="D77" s="14" t="inlineStr">
        <is>
          <t>Atta Ul Mustafa Saad</t>
        </is>
      </c>
      <c r="E77" s="14" t="inlineStr">
        <is>
          <t>UI/UX Designer</t>
        </is>
      </c>
      <c r="F77" s="14" t="inlineStr">
        <is>
          <t>Linknbit</t>
        </is>
      </c>
      <c r="G77" s="15" t="inlineStr">
        <is>
          <t>New Hiring Post</t>
        </is>
      </c>
      <c r="H77" s="15" t="inlineStr">
        <is>
          <t>Designing a post to recruit two design interns.</t>
        </is>
      </c>
      <c r="I77" s="14" t="inlineStr">
        <is>
          <t>approved</t>
        </is>
      </c>
      <c r="J77" s="9" t="n">
        <v>0.01319444444444444</v>
      </c>
      <c r="K77" s="9" t="n">
        <v>0</v>
      </c>
      <c r="L77" s="9">
        <f>J77+K77</f>
        <v/>
      </c>
      <c r="M77" s="9" t="n">
        <v>0.01319444444444444</v>
      </c>
    </row>
    <row r="78">
      <c r="A78" s="14" t="inlineStr">
        <is>
          <t>2026-08-31</t>
        </is>
      </c>
      <c r="B78" s="14" t="inlineStr">
        <is>
          <t>Wk5  31 Aug–06 Sep</t>
        </is>
      </c>
      <c r="C78" s="14" t="inlineStr">
        <is>
          <t>Design</t>
        </is>
      </c>
      <c r="D78" s="14" t="inlineStr">
        <is>
          <t>Atta Ul Mustafa Saad</t>
        </is>
      </c>
      <c r="E78" s="14" t="inlineStr">
        <is>
          <t>UI/UX Designer</t>
        </is>
      </c>
      <c r="F78" s="14" t="inlineStr">
        <is>
          <t>Capital Car Finance (CCF)</t>
        </is>
      </c>
      <c r="G78" s="15" t="inlineStr">
        <is>
          <t>Warranty Product Page Detailed Page</t>
        </is>
      </c>
      <c r="H78" s="15" t="inlineStr">
        <is>
          <t>Building five detailed warranty pages, each with an enquiry form.</t>
        </is>
      </c>
      <c r="I78" s="14" t="inlineStr">
        <is>
          <t>approved</t>
        </is>
      </c>
      <c r="J78" s="9" t="n">
        <v>0.7013888888888888</v>
      </c>
      <c r="K78" s="9" t="n">
        <v>0</v>
      </c>
      <c r="L78" s="9">
        <f>J78+K78</f>
        <v/>
      </c>
      <c r="M78" s="9" t="n">
        <v>0.6548611111111111</v>
      </c>
    </row>
    <row r="79">
      <c r="A79" s="14" t="inlineStr">
        <is>
          <t>2026-08-31</t>
        </is>
      </c>
      <c r="B79" s="14" t="inlineStr">
        <is>
          <t>Wk5  31 Aug–06 Sep</t>
        </is>
      </c>
      <c r="C79" s="14" t="inlineStr">
        <is>
          <t>Design</t>
        </is>
      </c>
      <c r="D79" s="14" t="inlineStr">
        <is>
          <t>Maaz Tareen</t>
        </is>
      </c>
      <c r="E79" s="14" t="inlineStr">
        <is>
          <t>UI/UX Designer</t>
        </is>
      </c>
      <c r="F79" s="14" t="inlineStr">
        <is>
          <t>Zedan</t>
        </is>
      </c>
      <c r="G79" s="15" t="inlineStr">
        <is>
          <t>Ad creative All over Pakistan</t>
        </is>
      </c>
      <c r="H79" s="15" t="inlineStr">
        <is>
          <t>Nationwide clearance-sale ad creatives.</t>
        </is>
      </c>
      <c r="I79" s="14" t="inlineStr">
        <is>
          <t>approved</t>
        </is>
      </c>
      <c r="J79" s="9" t="n">
        <v>0.1826388888888889</v>
      </c>
      <c r="K79" s="9" t="n">
        <v>0.01388888888888889</v>
      </c>
      <c r="L79" s="9">
        <f>J79+K79</f>
        <v/>
      </c>
      <c r="M79" s="9" t="n">
        <v>0.2708333333333333</v>
      </c>
    </row>
    <row r="80">
      <c r="A80" s="14" t="inlineStr">
        <is>
          <t>2026-08-31</t>
        </is>
      </c>
      <c r="B80" s="14" t="inlineStr">
        <is>
          <t>Wk5  31 Aug–06 Sep</t>
        </is>
      </c>
      <c r="C80" s="14" t="inlineStr">
        <is>
          <t>Design</t>
        </is>
      </c>
      <c r="D80" s="14" t="inlineStr">
        <is>
          <t>Maaz Tareen</t>
        </is>
      </c>
      <c r="E80" s="14" t="inlineStr">
        <is>
          <t>UI/UX Designer</t>
        </is>
      </c>
      <c r="F80" s="14" t="inlineStr">
        <is>
          <t>Zedan</t>
        </is>
      </c>
      <c r="G80" s="15" t="inlineStr">
        <is>
          <t>Ad creative for Lahore</t>
        </is>
      </c>
      <c r="H80" s="15" t="inlineStr">
        <is>
          <t>Ad creatives for the Lahore clearance-sale campaign.</t>
        </is>
      </c>
      <c r="I80" s="14" t="inlineStr">
        <is>
          <t>approved</t>
        </is>
      </c>
      <c r="J80" s="9" t="n">
        <v>0.5145833333333333</v>
      </c>
      <c r="K80" s="9" t="n">
        <v>0</v>
      </c>
      <c r="L80" s="9">
        <f>J80+K80</f>
        <v/>
      </c>
      <c r="M80" s="9" t="n">
        <v>0.5493055555555556</v>
      </c>
    </row>
    <row r="81">
      <c r="A81" s="14" t="inlineStr">
        <is>
          <t>2026-08-31</t>
        </is>
      </c>
      <c r="B81" s="14" t="inlineStr">
        <is>
          <t>Wk5  31 Aug–06 Sep</t>
        </is>
      </c>
      <c r="C81" s="14" t="inlineStr">
        <is>
          <t>Design</t>
        </is>
      </c>
      <c r="D81" s="14" t="inlineStr">
        <is>
          <t>Maaz Tareen</t>
        </is>
      </c>
      <c r="E81" s="14" t="inlineStr">
        <is>
          <t>UI/UX Designer</t>
        </is>
      </c>
      <c r="F81" s="14" t="inlineStr">
        <is>
          <t>Greta Grove</t>
        </is>
      </c>
      <c r="G81" s="15" t="inlineStr">
        <is>
          <t>Aluvo Sample Books</t>
        </is>
      </c>
      <c r="H81" s="15" t="inlineStr">
        <is>
          <t>Reworking the Aluvo sample book to new dimensions.</t>
        </is>
      </c>
      <c r="I81" s="14" t="inlineStr">
        <is>
          <t>todo</t>
        </is>
      </c>
      <c r="J81" s="9" t="n">
        <v>0.04444444444444445</v>
      </c>
      <c r="K81" s="9" t="n">
        <v>0</v>
      </c>
      <c r="L81" s="9">
        <f>J81+K81</f>
        <v/>
      </c>
      <c r="M81" s="9" t="n">
        <v>0.04861111111111111</v>
      </c>
    </row>
    <row r="82">
      <c r="A82" s="14" t="inlineStr">
        <is>
          <t>2026-08-31</t>
        </is>
      </c>
      <c r="B82" s="14" t="inlineStr">
        <is>
          <t>Wk5  31 Aug–06 Sep</t>
        </is>
      </c>
      <c r="C82" s="14" t="inlineStr">
        <is>
          <t>Design</t>
        </is>
      </c>
      <c r="D82" s="14" t="inlineStr">
        <is>
          <t>Maaz Tareen</t>
        </is>
      </c>
      <c r="E82" s="14" t="inlineStr">
        <is>
          <t>UI/UX Designer</t>
        </is>
      </c>
      <c r="F82" s="14" t="inlineStr">
        <is>
          <t>Greta Grove</t>
        </is>
      </c>
      <c r="G82" s="15" t="inlineStr">
        <is>
          <t>Design SEO Pages</t>
        </is>
      </c>
      <c r="H82" s="15" t="inlineStr">
        <is>
          <t>Designing pages built specifically to rank in search.</t>
        </is>
      </c>
      <c r="I82" s="14" t="inlineStr">
        <is>
          <t>approved</t>
        </is>
      </c>
      <c r="J82" s="9" t="n">
        <v>0.1597222222222222</v>
      </c>
      <c r="K82" s="9" t="n">
        <v>0</v>
      </c>
      <c r="L82" s="9">
        <f>J82+K82</f>
        <v/>
      </c>
      <c r="M82" s="9" t="n">
        <v>0.1944444444444444</v>
      </c>
    </row>
    <row r="83">
      <c r="A83" s="14" t="inlineStr">
        <is>
          <t>2026-08-31</t>
        </is>
      </c>
      <c r="B83" s="14" t="inlineStr">
        <is>
          <t>Wk5  31 Aug–06 Sep</t>
        </is>
      </c>
      <c r="C83" s="14" t="inlineStr">
        <is>
          <t>Design</t>
        </is>
      </c>
      <c r="D83" s="14" t="inlineStr">
        <is>
          <t>Maaz Tareen</t>
        </is>
      </c>
      <c r="E83" s="14" t="inlineStr">
        <is>
          <t>UI/UX Designer</t>
        </is>
      </c>
      <c r="F83" s="14" t="inlineStr">
        <is>
          <t>Linknbit</t>
        </is>
      </c>
      <c r="G83" s="15" t="inlineStr">
        <is>
          <t>Footer design + Remaining linknbit page</t>
        </is>
      </c>
      <c r="H83" s="15" t="inlineStr">
        <is>
          <t>Designing the footer and the remaining site pages.</t>
        </is>
      </c>
      <c r="I83" s="14" t="inlineStr">
        <is>
          <t>approved</t>
        </is>
      </c>
      <c r="J83" s="9" t="n">
        <v>0.1326388888888889</v>
      </c>
      <c r="K83" s="9" t="n">
        <v>0</v>
      </c>
      <c r="L83" s="9">
        <f>J83+K83</f>
        <v/>
      </c>
      <c r="M83" s="9" t="n">
        <v>0.1458333333333333</v>
      </c>
    </row>
    <row r="84">
      <c r="A84" s="14" t="inlineStr">
        <is>
          <t>2026-08-31</t>
        </is>
      </c>
      <c r="B84" s="14" t="inlineStr">
        <is>
          <t>Wk5  31 Aug–06 Sep</t>
        </is>
      </c>
      <c r="C84" s="14" t="inlineStr">
        <is>
          <t>Design</t>
        </is>
      </c>
      <c r="D84" s="14" t="inlineStr">
        <is>
          <t>Maaz Tareen</t>
        </is>
      </c>
      <c r="E84" s="14" t="inlineStr">
        <is>
          <t>UI/UX Designer</t>
        </is>
      </c>
      <c r="F84" s="14" t="inlineStr">
        <is>
          <t>Linknbit</t>
        </is>
      </c>
      <c r="G84" s="15" t="inlineStr">
        <is>
          <t>New Hiring Post</t>
        </is>
      </c>
      <c r="H84" s="15" t="inlineStr">
        <is>
          <t>Designing a post to recruit two design interns.</t>
        </is>
      </c>
      <c r="I84" s="14" t="inlineStr">
        <is>
          <t>approved</t>
        </is>
      </c>
      <c r="J84" s="9" t="n">
        <v>0.2097222222222222</v>
      </c>
      <c r="K84" s="9" t="n">
        <v>0</v>
      </c>
      <c r="L84" s="9">
        <f>J84+K84</f>
        <v/>
      </c>
      <c r="M84" s="9" t="n">
        <v>0.3</v>
      </c>
    </row>
    <row r="85">
      <c r="A85" s="14" t="inlineStr">
        <is>
          <t>2026-08-31</t>
        </is>
      </c>
      <c r="B85" s="14" t="inlineStr">
        <is>
          <t>Wk5  31 Aug–06 Sep</t>
        </is>
      </c>
      <c r="C85" s="14" t="inlineStr">
        <is>
          <t>Design</t>
        </is>
      </c>
      <c r="D85" s="14" t="inlineStr">
        <is>
          <t>Maaz Tareen</t>
        </is>
      </c>
      <c r="E85" s="14" t="inlineStr">
        <is>
          <t>UI/UX Designer</t>
        </is>
      </c>
      <c r="F85" s="14" t="inlineStr">
        <is>
          <t>Linknbit</t>
        </is>
      </c>
      <c r="G85" s="15" t="inlineStr">
        <is>
          <t>Reel Editing for Linknbit</t>
        </is>
      </c>
      <c r="H85" s="15" t="inlineStr">
        <is>
          <t>Editing our own reels from approved content.</t>
        </is>
      </c>
      <c r="I85" s="14" t="inlineStr">
        <is>
          <t>approved</t>
        </is>
      </c>
      <c r="J85" s="9" t="n">
        <v>0.03819444444444445</v>
      </c>
      <c r="K85" s="9" t="n">
        <v>0</v>
      </c>
      <c r="L85" s="9">
        <f>J85+K85</f>
        <v/>
      </c>
      <c r="M85" s="9" t="n">
        <v>0.04166666666666666</v>
      </c>
    </row>
    <row r="86">
      <c r="A86" s="14" t="inlineStr">
        <is>
          <t>2026-08-31</t>
        </is>
      </c>
      <c r="B86" s="14" t="inlineStr">
        <is>
          <t>Wk5  31 Aug–06 Sep</t>
        </is>
      </c>
      <c r="C86" s="14" t="inlineStr">
        <is>
          <t>Design</t>
        </is>
      </c>
      <c r="D86" s="14" t="inlineStr">
        <is>
          <t>Maaz Tareen</t>
        </is>
      </c>
      <c r="E86" s="14" t="inlineStr">
        <is>
          <t>UI/UX Designer</t>
        </is>
      </c>
      <c r="F86" s="14" t="inlineStr">
        <is>
          <t>MAQx</t>
        </is>
      </c>
      <c r="G86" s="15" t="inlineStr">
        <is>
          <t>Visa Post Design</t>
        </is>
      </c>
      <c r="H86" s="15" t="inlineStr">
        <is>
          <t>A student visa success post.</t>
        </is>
      </c>
      <c r="I86" s="14" t="inlineStr">
        <is>
          <t>approved</t>
        </is>
      </c>
      <c r="J86" s="9" t="n">
        <v>0.06458333333333334</v>
      </c>
      <c r="K86" s="9" t="n">
        <v>0</v>
      </c>
      <c r="L86" s="9">
        <f>J86+K86</f>
        <v/>
      </c>
      <c r="M86" s="9" t="n">
        <v>0.08333333333333333</v>
      </c>
    </row>
    <row r="87">
      <c r="A87" s="14" t="inlineStr">
        <is>
          <t>2026-09-07</t>
        </is>
      </c>
      <c r="B87" s="14" t="inlineStr">
        <is>
          <t>Wk6  07 Sep–13 Sep</t>
        </is>
      </c>
      <c r="C87" s="14" t="inlineStr">
        <is>
          <t>Design</t>
        </is>
      </c>
      <c r="D87" s="14" t="inlineStr">
        <is>
          <t>Abbas Khan</t>
        </is>
      </c>
      <c r="E87" s="14" t="inlineStr">
        <is>
          <t>CMS Developer and UI/UX Designer</t>
        </is>
      </c>
      <c r="F87" s="14" t="inlineStr">
        <is>
          <t>Titan Forge</t>
        </is>
      </c>
      <c r="G87" s="15" t="inlineStr">
        <is>
          <t>Design Improvements</t>
        </is>
      </c>
      <c r="H87" s="15" t="inlineStr">
        <is>
          <t>Improving the visual design across the whole site.</t>
        </is>
      </c>
      <c r="I87" s="14" t="inlineStr">
        <is>
          <t>review</t>
        </is>
      </c>
      <c r="J87" s="9" t="n">
        <v>0.4097222222222222</v>
      </c>
      <c r="K87" s="9" t="n">
        <v>0</v>
      </c>
      <c r="L87" s="9">
        <f>J87+K87</f>
        <v/>
      </c>
      <c r="M87" s="9" t="n">
        <v>0.4166666666666667</v>
      </c>
    </row>
    <row r="88">
      <c r="A88" s="14" t="inlineStr">
        <is>
          <t>2026-09-07</t>
        </is>
      </c>
      <c r="B88" s="14" t="inlineStr">
        <is>
          <t>Wk6  07 Sep–13 Sep</t>
        </is>
      </c>
      <c r="C88" s="14" t="inlineStr">
        <is>
          <t>Design</t>
        </is>
      </c>
      <c r="D88" s="14" t="inlineStr">
        <is>
          <t>Atta Ul Mustafa Saad</t>
        </is>
      </c>
      <c r="E88" s="14" t="inlineStr">
        <is>
          <t>UI/UX Designer</t>
        </is>
      </c>
      <c r="F88" s="14" t="inlineStr">
        <is>
          <t>Greta Grove</t>
        </is>
      </c>
      <c r="G88" s="15" t="inlineStr">
        <is>
          <t>Accoutic sample box chnage</t>
        </is>
      </c>
      <c r="H88" s="15" t="inlineStr">
        <is>
          <t>Changing the slogan on the acoustic sample box.</t>
        </is>
      </c>
      <c r="I88" s="14" t="inlineStr">
        <is>
          <t>approved</t>
        </is>
      </c>
      <c r="J88" s="9" t="n">
        <v>0.003472222222222222</v>
      </c>
      <c r="K88" s="9" t="n">
        <v>0</v>
      </c>
      <c r="L88" s="9">
        <f>J88+K88</f>
        <v/>
      </c>
      <c r="M88" s="9" t="n">
        <v>0.003472222222222222</v>
      </c>
    </row>
    <row r="89">
      <c r="A89" s="14" t="inlineStr">
        <is>
          <t>2026-09-07</t>
        </is>
      </c>
      <c r="B89" s="14" t="inlineStr">
        <is>
          <t>Wk6  07 Sep–13 Sep</t>
        </is>
      </c>
      <c r="C89" s="14" t="inlineStr">
        <is>
          <t>Design</t>
        </is>
      </c>
      <c r="D89" s="14" t="inlineStr">
        <is>
          <t>Atta Ul Mustafa Saad</t>
        </is>
      </c>
      <c r="E89" s="14" t="inlineStr">
        <is>
          <t>UI/UX Designer</t>
        </is>
      </c>
      <c r="F89" s="14" t="inlineStr">
        <is>
          <t>Greta Grove</t>
        </is>
      </c>
      <c r="G89" s="15" t="inlineStr">
        <is>
          <t>Ad Creatives</t>
        </is>
      </c>
      <c r="H89" s="15" t="inlineStr">
        <is>
          <t>Google Ads drafts and switcher creatives.</t>
        </is>
      </c>
      <c r="I89" s="14" t="inlineStr">
        <is>
          <t>review</t>
        </is>
      </c>
      <c r="J89" s="9" t="n">
        <v>0.1604166666666667</v>
      </c>
      <c r="K89" s="9" t="n">
        <v>0</v>
      </c>
      <c r="L89" s="9">
        <f>J89+K89</f>
        <v/>
      </c>
      <c r="M89" s="9" t="n">
        <v>0.1479166666666667</v>
      </c>
    </row>
    <row r="90">
      <c r="A90" s="14" t="inlineStr">
        <is>
          <t>2026-09-07</t>
        </is>
      </c>
      <c r="B90" s="14" t="inlineStr">
        <is>
          <t>Wk6  07 Sep–13 Sep</t>
        </is>
      </c>
      <c r="C90" s="14" t="inlineStr">
        <is>
          <t>Design</t>
        </is>
      </c>
      <c r="D90" s="14" t="inlineStr">
        <is>
          <t>Atta Ul Mustafa Saad</t>
        </is>
      </c>
      <c r="E90" s="14" t="inlineStr">
        <is>
          <t>UI/UX Designer</t>
        </is>
      </c>
      <c r="F90" s="14" t="inlineStr">
        <is>
          <t>Greta Grove</t>
        </is>
      </c>
      <c r="G90" s="15" t="inlineStr">
        <is>
          <t>Aluvo Sample Books</t>
        </is>
      </c>
      <c r="H90" s="15" t="inlineStr">
        <is>
          <t>Reworking the Aluvo sample book to new dimensions.</t>
        </is>
      </c>
      <c r="I90" s="14" t="inlineStr">
        <is>
          <t>todo</t>
        </is>
      </c>
      <c r="J90" s="9" t="n">
        <v>0.1847222222222222</v>
      </c>
      <c r="K90" s="9" t="n">
        <v>0</v>
      </c>
      <c r="L90" s="9">
        <f>J90+K90</f>
        <v/>
      </c>
      <c r="M90" s="9" t="n">
        <v>0.1833333333333333</v>
      </c>
    </row>
    <row r="91">
      <c r="A91" s="14" t="inlineStr">
        <is>
          <t>2026-09-07</t>
        </is>
      </c>
      <c r="B91" s="14" t="inlineStr">
        <is>
          <t>Wk6  07 Sep–13 Sep</t>
        </is>
      </c>
      <c r="C91" s="14" t="inlineStr">
        <is>
          <t>Design</t>
        </is>
      </c>
      <c r="D91" s="14" t="inlineStr">
        <is>
          <t>Atta Ul Mustafa Saad</t>
        </is>
      </c>
      <c r="E91" s="14" t="inlineStr">
        <is>
          <t>UI/UX Designer</t>
        </is>
      </c>
      <c r="F91" s="14" t="inlineStr">
        <is>
          <t>Neowall</t>
        </is>
      </c>
      <c r="G91" s="15" t="inlineStr">
        <is>
          <t>Indoor Product Ads  (Winter Push)</t>
        </is>
      </c>
      <c r="H91" s="15" t="inlineStr">
        <is>
          <t>Ad creatives for the winter indoor-product campaign.</t>
        </is>
      </c>
      <c r="I91" s="14" t="inlineStr">
        <is>
          <t>approved</t>
        </is>
      </c>
      <c r="J91" s="9" t="n">
        <v>0.4284722222222222</v>
      </c>
      <c r="K91" s="9" t="n">
        <v>0</v>
      </c>
      <c r="L91" s="9">
        <f>J91+K91</f>
        <v/>
      </c>
      <c r="M91" s="9" t="n">
        <v>0.4375</v>
      </c>
    </row>
    <row r="92">
      <c r="A92" s="14" t="inlineStr">
        <is>
          <t>2026-09-07</t>
        </is>
      </c>
      <c r="B92" s="14" t="inlineStr">
        <is>
          <t>Wk6  07 Sep–13 Sep</t>
        </is>
      </c>
      <c r="C92" s="14" t="inlineStr">
        <is>
          <t>Design</t>
        </is>
      </c>
      <c r="D92" s="14" t="inlineStr">
        <is>
          <t>Atta Ul Mustafa Saad</t>
        </is>
      </c>
      <c r="E92" s="14" t="inlineStr">
        <is>
          <t>UI/UX Designer</t>
        </is>
      </c>
      <c r="F92" s="14" t="inlineStr">
        <is>
          <t>Greta Grove</t>
        </is>
      </c>
      <c r="G92" s="15" t="inlineStr">
        <is>
          <t>Packaging for Wide Plank SPC Flooring</t>
        </is>
      </c>
      <c r="H92" s="15" t="inlineStr">
        <is>
          <t>Designing premium packaging artwork for wide-plank SPC flooring.</t>
        </is>
      </c>
      <c r="I92" s="14" t="inlineStr">
        <is>
          <t>in_progress</t>
        </is>
      </c>
      <c r="J92" s="9" t="n">
        <v>0</v>
      </c>
      <c r="K92" s="9" t="n">
        <v>0</v>
      </c>
      <c r="L92" s="9">
        <f>J92+K92</f>
        <v/>
      </c>
      <c r="M92" s="9" t="n">
        <v>0.1354166666666667</v>
      </c>
    </row>
    <row r="93">
      <c r="A93" s="14" t="inlineStr">
        <is>
          <t>2026-09-07</t>
        </is>
      </c>
      <c r="B93" s="14" t="inlineStr">
        <is>
          <t>Wk6  07 Sep–13 Sep</t>
        </is>
      </c>
      <c r="C93" s="14" t="inlineStr">
        <is>
          <t>Design</t>
        </is>
      </c>
      <c r="D93" s="14" t="inlineStr">
        <is>
          <t>Atta Ul Mustafa Saad</t>
        </is>
      </c>
      <c r="E93" s="14" t="inlineStr">
        <is>
          <t>UI/UX Designer</t>
        </is>
      </c>
      <c r="F93" s="14" t="inlineStr">
        <is>
          <t>Greta Grove</t>
        </is>
      </c>
      <c r="G93" s="15" t="inlineStr">
        <is>
          <t>SPC stand mokcup</t>
        </is>
      </c>
      <c r="H93" s="15" t="inlineStr">
        <is>
          <t>Creating a display-stand mockup, sourced or AI-generated.</t>
        </is>
      </c>
      <c r="I93" s="14" t="inlineStr">
        <is>
          <t>blocked</t>
        </is>
      </c>
      <c r="J93" s="9" t="n">
        <v>0.2326388888888889</v>
      </c>
      <c r="K93" s="9" t="n">
        <v>0</v>
      </c>
      <c r="L93" s="9">
        <f>J93+K93</f>
        <v/>
      </c>
      <c r="M93" s="9" t="n">
        <v>0.1715277777777778</v>
      </c>
    </row>
    <row r="94">
      <c r="A94" s="14" t="inlineStr">
        <is>
          <t>2026-09-07</t>
        </is>
      </c>
      <c r="B94" s="14" t="inlineStr">
        <is>
          <t>Wk6  07 Sep–13 Sep</t>
        </is>
      </c>
      <c r="C94" s="14" t="inlineStr">
        <is>
          <t>Design</t>
        </is>
      </c>
      <c r="D94" s="14" t="inlineStr">
        <is>
          <t>Atta Ul Mustafa Saad</t>
        </is>
      </c>
      <c r="E94" s="14" t="inlineStr">
        <is>
          <t>UI/UX Designer</t>
        </is>
      </c>
      <c r="F94" s="14" t="inlineStr">
        <is>
          <t>Greta Grove</t>
        </is>
      </c>
      <c r="G94" s="15" t="inlineStr">
        <is>
          <t>Sample Boxes mockup</t>
        </is>
      </c>
      <c r="H94" s="15" t="inlineStr">
        <is>
          <t>Mockups of all sample boxes and books, Greta Grove first.</t>
        </is>
      </c>
      <c r="I94" s="14" t="inlineStr">
        <is>
          <t>approved</t>
        </is>
      </c>
      <c r="J94" s="9" t="n">
        <v>0.3520833333333334</v>
      </c>
      <c r="K94" s="9" t="n">
        <v>0</v>
      </c>
      <c r="L94" s="9">
        <f>J94+K94</f>
        <v/>
      </c>
      <c r="M94" s="9" t="n">
        <v>0.3215277777777778</v>
      </c>
    </row>
    <row r="95">
      <c r="A95" s="14" t="inlineStr">
        <is>
          <t>2026-09-07</t>
        </is>
      </c>
      <c r="B95" s="14" t="inlineStr">
        <is>
          <t>Wk6  07 Sep–13 Sep</t>
        </is>
      </c>
      <c r="C95" s="14" t="inlineStr">
        <is>
          <t>Design</t>
        </is>
      </c>
      <c r="D95" s="14" t="inlineStr">
        <is>
          <t>Atta Ul Mustafa Saad</t>
        </is>
      </c>
      <c r="E95" s="14" t="inlineStr">
        <is>
          <t>UI/UX Designer</t>
        </is>
      </c>
      <c r="F95" s="14" t="inlineStr">
        <is>
          <t>Linknbit</t>
        </is>
      </c>
      <c r="G95" s="15" t="inlineStr">
        <is>
          <t>Social Media Post Design</t>
        </is>
      </c>
      <c r="H95" s="15" t="inlineStr">
        <is>
          <t>Designing our own social posts from the content sheet.</t>
        </is>
      </c>
      <c r="I95" s="14" t="inlineStr">
        <is>
          <t>todo</t>
        </is>
      </c>
      <c r="J95" s="9" t="n">
        <v>0.2715277777777778</v>
      </c>
      <c r="K95" s="9" t="n">
        <v>0.04166666666666666</v>
      </c>
      <c r="L95" s="9">
        <f>J95+K95</f>
        <v/>
      </c>
      <c r="M95" s="9" t="n">
        <v>0.2569444444444444</v>
      </c>
    </row>
    <row r="96">
      <c r="A96" s="14" t="inlineStr">
        <is>
          <t>2026-09-07</t>
        </is>
      </c>
      <c r="B96" s="14" t="inlineStr">
        <is>
          <t>Wk6  07 Sep–13 Sep</t>
        </is>
      </c>
      <c r="C96" s="14" t="inlineStr">
        <is>
          <t>Design</t>
        </is>
      </c>
      <c r="D96" s="14" t="inlineStr">
        <is>
          <t>Atta Ul Mustafa Saad</t>
        </is>
      </c>
      <c r="E96" s="14" t="inlineStr">
        <is>
          <t>UI/UX Designer</t>
        </is>
      </c>
      <c r="F96" s="14" t="inlineStr">
        <is>
          <t>Linknbit</t>
        </is>
      </c>
      <c r="G96" s="15" t="inlineStr">
        <is>
          <t>Website Design</t>
        </is>
      </c>
      <c r="H96" s="15" t="inlineStr">
        <is>
          <t>Designing the new Linknbit company website.</t>
        </is>
      </c>
      <c r="I96" s="14" t="inlineStr">
        <is>
          <t>review</t>
        </is>
      </c>
      <c r="J96" s="9" t="n">
        <v>0.009027777777777777</v>
      </c>
      <c r="K96" s="9" t="n">
        <v>0</v>
      </c>
      <c r="L96" s="9">
        <f>J96+K96</f>
        <v/>
      </c>
      <c r="M96" s="9" t="n">
        <v>0.009027777777777777</v>
      </c>
    </row>
    <row r="97">
      <c r="A97" s="14" t="inlineStr">
        <is>
          <t>2026-09-07</t>
        </is>
      </c>
      <c r="B97" s="14" t="inlineStr">
        <is>
          <t>Wk6  07 Sep–13 Sep</t>
        </is>
      </c>
      <c r="C97" s="14" t="inlineStr">
        <is>
          <t>Design</t>
        </is>
      </c>
      <c r="D97" s="14" t="inlineStr">
        <is>
          <t>Maaz Tareen</t>
        </is>
      </c>
      <c r="E97" s="14" t="inlineStr">
        <is>
          <t>UI/UX Designer</t>
        </is>
      </c>
      <c r="F97" s="14" t="inlineStr">
        <is>
          <t>Zedan</t>
        </is>
      </c>
      <c r="G97" s="15" t="inlineStr">
        <is>
          <t>Ad creative All over Pakistan</t>
        </is>
      </c>
      <c r="H97" s="15" t="inlineStr">
        <is>
          <t>Nationwide clearance-sale ad creatives.</t>
        </is>
      </c>
      <c r="I97" s="14" t="inlineStr">
        <is>
          <t>approved</t>
        </is>
      </c>
      <c r="J97" s="9" t="n">
        <v>0.1965277777777778</v>
      </c>
      <c r="K97" s="9" t="n">
        <v>0</v>
      </c>
      <c r="L97" s="9">
        <f>J97+K97</f>
        <v/>
      </c>
      <c r="M97" s="9" t="n">
        <v>0.1965277777777778</v>
      </c>
    </row>
    <row r="98">
      <c r="A98" s="14" t="inlineStr">
        <is>
          <t>2026-09-07</t>
        </is>
      </c>
      <c r="B98" s="14" t="inlineStr">
        <is>
          <t>Wk6  07 Sep–13 Sep</t>
        </is>
      </c>
      <c r="C98" s="14" t="inlineStr">
        <is>
          <t>Design</t>
        </is>
      </c>
      <c r="D98" s="14" t="inlineStr">
        <is>
          <t>Maaz Tareen</t>
        </is>
      </c>
      <c r="E98" s="14" t="inlineStr">
        <is>
          <t>UI/UX Designer</t>
        </is>
      </c>
      <c r="F98" s="14" t="inlineStr">
        <is>
          <t>Linknbit</t>
        </is>
      </c>
      <c r="G98" s="15" t="inlineStr">
        <is>
          <t>Footer design + Remaining linknbit page</t>
        </is>
      </c>
      <c r="H98" s="15" t="inlineStr">
        <is>
          <t>Designing the footer and the remaining site pages.</t>
        </is>
      </c>
      <c r="I98" s="14" t="inlineStr">
        <is>
          <t>approved</t>
        </is>
      </c>
      <c r="J98" s="9" t="n">
        <v>0.07361111111111111</v>
      </c>
      <c r="K98" s="9" t="n">
        <v>0</v>
      </c>
      <c r="L98" s="9">
        <f>J98+K98</f>
        <v/>
      </c>
      <c r="M98" s="9" t="n">
        <v>0.07291666666666667</v>
      </c>
    </row>
    <row r="99">
      <c r="A99" s="14" t="inlineStr">
        <is>
          <t>2026-09-07</t>
        </is>
      </c>
      <c r="B99" s="14" t="inlineStr">
        <is>
          <t>Wk6  07 Sep–13 Sep</t>
        </is>
      </c>
      <c r="C99" s="14" t="inlineStr">
        <is>
          <t>Design</t>
        </is>
      </c>
      <c r="D99" s="14" t="inlineStr">
        <is>
          <t>Maaz Tareen</t>
        </is>
      </c>
      <c r="E99" s="14" t="inlineStr">
        <is>
          <t>UI/UX Designer</t>
        </is>
      </c>
      <c r="F99" s="14" t="inlineStr">
        <is>
          <t>Linknbit</t>
        </is>
      </c>
      <c r="G99" s="15" t="inlineStr">
        <is>
          <t>New Hiring Post</t>
        </is>
      </c>
      <c r="H99" s="15" t="inlineStr">
        <is>
          <t>Designing a post to recruit two design interns.</t>
        </is>
      </c>
      <c r="I99" s="14" t="inlineStr">
        <is>
          <t>approved</t>
        </is>
      </c>
      <c r="J99" s="9" t="n">
        <v>0.03333333333333333</v>
      </c>
      <c r="K99" s="9" t="n">
        <v>0</v>
      </c>
      <c r="L99" s="9">
        <f>J99+K99</f>
        <v/>
      </c>
      <c r="M99" s="9" t="n">
        <v>0.02777777777777778</v>
      </c>
    </row>
    <row r="100">
      <c r="A100" s="14" t="inlineStr">
        <is>
          <t>2026-09-07</t>
        </is>
      </c>
      <c r="B100" s="14" t="inlineStr">
        <is>
          <t>Wk6  07 Sep–13 Sep</t>
        </is>
      </c>
      <c r="C100" s="14" t="inlineStr">
        <is>
          <t>Design</t>
        </is>
      </c>
      <c r="D100" s="14" t="inlineStr">
        <is>
          <t>Maaz Tareen</t>
        </is>
      </c>
      <c r="E100" s="14" t="inlineStr">
        <is>
          <t>UI/UX Designer</t>
        </is>
      </c>
      <c r="F100" s="14" t="inlineStr">
        <is>
          <t>Academix Mentor</t>
        </is>
      </c>
      <c r="G100" s="15" t="inlineStr">
        <is>
          <t>Post Design</t>
        </is>
      </c>
      <c r="H100" s="15" t="inlineStr">
        <is>
          <t>Designing social posts from the client's content calendar.</t>
        </is>
      </c>
      <c r="I100" s="14" t="inlineStr">
        <is>
          <t>in_progress</t>
        </is>
      </c>
      <c r="J100" s="9" t="n">
        <v>0.3701388888888889</v>
      </c>
      <c r="K100" s="9" t="n">
        <v>0</v>
      </c>
      <c r="L100" s="9">
        <f>J100+K100</f>
        <v/>
      </c>
      <c r="M100" s="9" t="n">
        <v>0.35625</v>
      </c>
    </row>
    <row r="101">
      <c r="A101" s="14" t="inlineStr">
        <is>
          <t>2026-09-07</t>
        </is>
      </c>
      <c r="B101" s="14" t="inlineStr">
        <is>
          <t>Wk6  07 Sep–13 Sep</t>
        </is>
      </c>
      <c r="C101" s="14" t="inlineStr">
        <is>
          <t>Design</t>
        </is>
      </c>
      <c r="D101" s="14" t="inlineStr">
        <is>
          <t>Maaz Tareen</t>
        </is>
      </c>
      <c r="E101" s="14" t="inlineStr">
        <is>
          <t>UI/UX Designer</t>
        </is>
      </c>
      <c r="F101" s="14" t="inlineStr">
        <is>
          <t>MAQx</t>
        </is>
      </c>
      <c r="G101" s="15" t="inlineStr">
        <is>
          <t>Post designs</t>
        </is>
      </c>
      <c r="H101" s="15" t="inlineStr">
        <is>
          <t>Designing social media posts from the content calendar.</t>
        </is>
      </c>
      <c r="I101" s="14" t="inlineStr">
        <is>
          <t>todo</t>
        </is>
      </c>
      <c r="J101" s="9" t="n">
        <v>0.2590277777777778</v>
      </c>
      <c r="K101" s="9" t="n">
        <v>0</v>
      </c>
      <c r="L101" s="9">
        <f>J101+K101</f>
        <v/>
      </c>
      <c r="M101" s="9" t="n">
        <v>0.2840277777777778</v>
      </c>
    </row>
    <row r="102">
      <c r="A102" s="14" t="inlineStr">
        <is>
          <t>2026-09-07</t>
        </is>
      </c>
      <c r="B102" s="14" t="inlineStr">
        <is>
          <t>Wk6  07 Sep–13 Sep</t>
        </is>
      </c>
      <c r="C102" s="14" t="inlineStr">
        <is>
          <t>Design</t>
        </is>
      </c>
      <c r="D102" s="14" t="inlineStr">
        <is>
          <t>Maaz Tareen</t>
        </is>
      </c>
      <c r="E102" s="14" t="inlineStr">
        <is>
          <t>UI/UX Designer</t>
        </is>
      </c>
      <c r="F102" s="14" t="inlineStr">
        <is>
          <t>Linknbit</t>
        </is>
      </c>
      <c r="G102" s="15" t="inlineStr">
        <is>
          <t>Social Media Post Design</t>
        </is>
      </c>
      <c r="H102" s="15" t="inlineStr">
        <is>
          <t>Designing our own social posts from the content sheet.</t>
        </is>
      </c>
      <c r="I102" s="14" t="inlineStr">
        <is>
          <t>todo</t>
        </is>
      </c>
      <c r="J102" s="9" t="n">
        <v>0.6861111111111111</v>
      </c>
      <c r="K102" s="9" t="n">
        <v>0.03819444444444445</v>
      </c>
      <c r="L102" s="9">
        <f>J102+K102</f>
        <v/>
      </c>
      <c r="M102" s="9" t="n">
        <v>0.7291666666666666</v>
      </c>
    </row>
    <row r="103">
      <c r="A103" s="14" t="inlineStr">
        <is>
          <t>2026-09-07</t>
        </is>
      </c>
      <c r="B103" s="14" t="inlineStr">
        <is>
          <t>Wk6  07 Sep–13 Sep</t>
        </is>
      </c>
      <c r="C103" s="14" t="inlineStr">
        <is>
          <t>Design</t>
        </is>
      </c>
      <c r="D103" s="14" t="inlineStr">
        <is>
          <t>Mahnoor</t>
        </is>
      </c>
      <c r="E103" s="14" t="inlineStr">
        <is>
          <t>Chief Design Officer</t>
        </is>
      </c>
      <c r="F103" s="14" t="inlineStr">
        <is>
          <t>Neowall</t>
        </is>
      </c>
      <c r="G103" s="15" t="inlineStr">
        <is>
          <t>Website UX Review</t>
        </is>
      </c>
      <c r="H103" s="15" t="inlineStr">
        <is>
          <t>Reviewing the site's user experience and giving feedback.</t>
        </is>
      </c>
      <c r="I103" s="14" t="inlineStr">
        <is>
          <t>in_progress</t>
        </is>
      </c>
      <c r="J103" s="9" t="n">
        <v>0.01597222222222222</v>
      </c>
      <c r="K103" s="9" t="n">
        <v>0</v>
      </c>
      <c r="L103" s="9">
        <f>J103+K103</f>
        <v/>
      </c>
      <c r="M103" s="9" t="n">
        <v>0</v>
      </c>
    </row>
    <row r="104">
      <c r="A104" s="14" t="inlineStr">
        <is>
          <t>2026-09-14</t>
        </is>
      </c>
      <c r="B104" s="14" t="inlineStr">
        <is>
          <t>Wk7  14 Sep–20 Sep</t>
        </is>
      </c>
      <c r="C104" s="14" t="inlineStr">
        <is>
          <t>Design</t>
        </is>
      </c>
      <c r="D104" s="14" t="inlineStr">
        <is>
          <t>Abbas Khan</t>
        </is>
      </c>
      <c r="E104" s="14" t="inlineStr">
        <is>
          <t>CMS Developer and UI/UX Designer</t>
        </is>
      </c>
      <c r="F104" s="14" t="inlineStr">
        <is>
          <t>Titan Forge</t>
        </is>
      </c>
      <c r="G104" s="15" t="inlineStr">
        <is>
          <t>Design Improvements</t>
        </is>
      </c>
      <c r="H104" s="15" t="inlineStr">
        <is>
          <t>Improving the visual design across the whole site.</t>
        </is>
      </c>
      <c r="I104" s="14" t="inlineStr">
        <is>
          <t>review</t>
        </is>
      </c>
      <c r="J104" s="9" t="n">
        <v>0.2451388888888889</v>
      </c>
      <c r="K104" s="9" t="n">
        <v>0</v>
      </c>
      <c r="L104" s="9">
        <f>J104+K104</f>
        <v/>
      </c>
      <c r="M104" s="9" t="n">
        <v>0.2819444444444444</v>
      </c>
    </row>
    <row r="105">
      <c r="A105" s="14" t="inlineStr">
        <is>
          <t>2026-09-14</t>
        </is>
      </c>
      <c r="B105" s="14" t="inlineStr">
        <is>
          <t>Wk7  14 Sep–20 Sep</t>
        </is>
      </c>
      <c r="C105" s="14" t="inlineStr">
        <is>
          <t>Design</t>
        </is>
      </c>
      <c r="D105" s="14" t="inlineStr">
        <is>
          <t>Atta Ul Mustafa Saad</t>
        </is>
      </c>
      <c r="E105" s="14" t="inlineStr">
        <is>
          <t>UI/UX Designer</t>
        </is>
      </c>
      <c r="F105" s="14" t="inlineStr">
        <is>
          <t>Greta Grove</t>
        </is>
      </c>
      <c r="G105" s="15" t="inlineStr">
        <is>
          <t>Ad Creatives</t>
        </is>
      </c>
      <c r="H105" s="15" t="inlineStr">
        <is>
          <t>Google Ads drafts and switcher creatives.</t>
        </is>
      </c>
      <c r="I105" s="14" t="inlineStr">
        <is>
          <t>review</t>
        </is>
      </c>
      <c r="J105" s="9" t="n">
        <v>0.02013888888888889</v>
      </c>
      <c r="K105" s="9" t="n">
        <v>0</v>
      </c>
      <c r="L105" s="9">
        <f>J105+K105</f>
        <v/>
      </c>
      <c r="M105" s="9" t="n">
        <v>0</v>
      </c>
    </row>
    <row r="106">
      <c r="A106" s="14" t="inlineStr">
        <is>
          <t>2026-09-14</t>
        </is>
      </c>
      <c r="B106" s="14" t="inlineStr">
        <is>
          <t>Wk7  14 Sep–20 Sep</t>
        </is>
      </c>
      <c r="C106" s="14" t="inlineStr">
        <is>
          <t>Design</t>
        </is>
      </c>
      <c r="D106" s="14" t="inlineStr">
        <is>
          <t>Atta Ul Mustafa Saad</t>
        </is>
      </c>
      <c r="E106" s="14" t="inlineStr">
        <is>
          <t>UI/UX Designer</t>
        </is>
      </c>
      <c r="F106" s="14" t="inlineStr">
        <is>
          <t>Linknbit</t>
        </is>
      </c>
      <c r="G106" s="15" t="inlineStr">
        <is>
          <t>Case Studies Design</t>
        </is>
      </c>
      <c r="H106" s="15" t="inlineStr">
        <is>
          <t>Designing the case-study pages for our own marketing.</t>
        </is>
      </c>
      <c r="I106" s="14" t="inlineStr">
        <is>
          <t>in_progress</t>
        </is>
      </c>
      <c r="J106" s="9" t="n">
        <v>0.05902777777777778</v>
      </c>
      <c r="K106" s="9" t="n">
        <v>0</v>
      </c>
      <c r="L106" s="9">
        <f>J106+K106</f>
        <v/>
      </c>
      <c r="M106" s="9" t="n">
        <v>0</v>
      </c>
    </row>
    <row r="107">
      <c r="A107" s="14" t="inlineStr">
        <is>
          <t>2026-09-14</t>
        </is>
      </c>
      <c r="B107" s="14" t="inlineStr">
        <is>
          <t>Wk7  14 Sep–20 Sep</t>
        </is>
      </c>
      <c r="C107" s="14" t="inlineStr">
        <is>
          <t>Design</t>
        </is>
      </c>
      <c r="D107" s="14" t="inlineStr">
        <is>
          <t>Atta Ul Mustafa Saad</t>
        </is>
      </c>
      <c r="E107" s="14" t="inlineStr">
        <is>
          <t>UI/UX Designer</t>
        </is>
      </c>
      <c r="F107" s="14" t="inlineStr">
        <is>
          <t>Neowall</t>
        </is>
      </c>
      <c r="G107" s="15" t="inlineStr">
        <is>
          <t>Indoor Product Ads  (Winter Push)</t>
        </is>
      </c>
      <c r="H107" s="15" t="inlineStr">
        <is>
          <t>Ad creatives for the winter indoor-product campaign.</t>
        </is>
      </c>
      <c r="I107" s="14" t="inlineStr">
        <is>
          <t>approved</t>
        </is>
      </c>
      <c r="J107" s="9" t="n">
        <v>0.1361111111111111</v>
      </c>
      <c r="K107" s="9" t="n">
        <v>0</v>
      </c>
      <c r="L107" s="9">
        <f>J107+K107</f>
        <v/>
      </c>
      <c r="M107" s="9" t="n">
        <v>0.1298611111111111</v>
      </c>
    </row>
    <row r="108">
      <c r="A108" s="14" t="inlineStr">
        <is>
          <t>2026-09-14</t>
        </is>
      </c>
      <c r="B108" s="14" t="inlineStr">
        <is>
          <t>Wk7  14 Sep–20 Sep</t>
        </is>
      </c>
      <c r="C108" s="14" t="inlineStr">
        <is>
          <t>Design</t>
        </is>
      </c>
      <c r="D108" s="14" t="inlineStr">
        <is>
          <t>Atta Ul Mustafa Saad</t>
        </is>
      </c>
      <c r="E108" s="14" t="inlineStr">
        <is>
          <t>UI/UX Designer</t>
        </is>
      </c>
      <c r="F108" s="14" t="inlineStr">
        <is>
          <t>Greta Grove</t>
        </is>
      </c>
      <c r="G108" s="15" t="inlineStr">
        <is>
          <t>Packaging for Wide Plank SPC Flooring</t>
        </is>
      </c>
      <c r="H108" s="15" t="inlineStr">
        <is>
          <t>Designing premium packaging artwork for wide-plank SPC flooring.</t>
        </is>
      </c>
      <c r="I108" s="14" t="inlineStr">
        <is>
          <t>in_progress</t>
        </is>
      </c>
      <c r="J108" s="9" t="n">
        <v>1.349305555555556</v>
      </c>
      <c r="K108" s="9" t="n">
        <v>0</v>
      </c>
      <c r="L108" s="9">
        <f>J108+K108</f>
        <v/>
      </c>
      <c r="M108" s="9" t="n">
        <v>0.2034722222222222</v>
      </c>
    </row>
    <row r="109">
      <c r="A109" s="14" t="inlineStr">
        <is>
          <t>2026-09-14</t>
        </is>
      </c>
      <c r="B109" s="14" t="inlineStr">
        <is>
          <t>Wk7  14 Sep–20 Sep</t>
        </is>
      </c>
      <c r="C109" s="14" t="inlineStr">
        <is>
          <t>Design</t>
        </is>
      </c>
      <c r="D109" s="14" t="inlineStr">
        <is>
          <t>Atta Ul Mustafa Saad</t>
        </is>
      </c>
      <c r="E109" s="14" t="inlineStr">
        <is>
          <t>UI/UX Designer</t>
        </is>
      </c>
      <c r="F109" s="14" t="inlineStr">
        <is>
          <t>MAQx</t>
        </is>
      </c>
      <c r="G109" s="15" t="inlineStr">
        <is>
          <t>Post designs</t>
        </is>
      </c>
      <c r="H109" s="15" t="inlineStr">
        <is>
          <t>Designing social media posts from the content calendar.</t>
        </is>
      </c>
      <c r="I109" s="14" t="inlineStr">
        <is>
          <t>todo</t>
        </is>
      </c>
      <c r="J109" s="9" t="n">
        <v>0.3881944444444445</v>
      </c>
      <c r="K109" s="9" t="n">
        <v>0</v>
      </c>
      <c r="L109" s="9">
        <f>J109+K109</f>
        <v/>
      </c>
      <c r="M109" s="9" t="n">
        <v>0.07222222222222222</v>
      </c>
    </row>
    <row r="110">
      <c r="A110" s="14" t="inlineStr">
        <is>
          <t>2026-09-14</t>
        </is>
      </c>
      <c r="B110" s="14" t="inlineStr">
        <is>
          <t>Wk7  14 Sep–20 Sep</t>
        </is>
      </c>
      <c r="C110" s="14" t="inlineStr">
        <is>
          <t>Design</t>
        </is>
      </c>
      <c r="D110" s="14" t="inlineStr">
        <is>
          <t>Atta Ul Mustafa Saad</t>
        </is>
      </c>
      <c r="E110" s="14" t="inlineStr">
        <is>
          <t>UI/UX Designer</t>
        </is>
      </c>
      <c r="F110" s="14" t="inlineStr">
        <is>
          <t>Greta Grove</t>
        </is>
      </c>
      <c r="G110" s="15" t="inlineStr">
        <is>
          <t>SPC stand mokcup</t>
        </is>
      </c>
      <c r="H110" s="15" t="inlineStr">
        <is>
          <t>Creating a display-stand mockup, sourced or AI-generated.</t>
        </is>
      </c>
      <c r="I110" s="14" t="inlineStr">
        <is>
          <t>blocked</t>
        </is>
      </c>
      <c r="J110" s="9" t="n">
        <v>0.03611111111111111</v>
      </c>
      <c r="K110" s="9" t="n">
        <v>0</v>
      </c>
      <c r="L110" s="9">
        <f>J110+K110</f>
        <v/>
      </c>
      <c r="M110" s="9" t="n">
        <v>0.03541666666666667</v>
      </c>
    </row>
    <row r="111">
      <c r="A111" s="14" t="inlineStr">
        <is>
          <t>2026-09-14</t>
        </is>
      </c>
      <c r="B111" s="14" t="inlineStr">
        <is>
          <t>Wk7  14 Sep–20 Sep</t>
        </is>
      </c>
      <c r="C111" s="14" t="inlineStr">
        <is>
          <t>Design</t>
        </is>
      </c>
      <c r="D111" s="14" t="inlineStr">
        <is>
          <t>Atta Ul Mustafa Saad</t>
        </is>
      </c>
      <c r="E111" s="14" t="inlineStr">
        <is>
          <t>UI/UX Designer</t>
        </is>
      </c>
      <c r="F111" s="14" t="inlineStr">
        <is>
          <t>Linknbit</t>
        </is>
      </c>
      <c r="G111" s="15" t="inlineStr">
        <is>
          <t>Website Design</t>
        </is>
      </c>
      <c r="H111" s="15" t="inlineStr">
        <is>
          <t>Designing the new Linknbit company website.</t>
        </is>
      </c>
      <c r="I111" s="14" t="inlineStr">
        <is>
          <t>review</t>
        </is>
      </c>
      <c r="J111" s="9" t="n">
        <v>0.2256944444444444</v>
      </c>
      <c r="K111" s="9" t="n">
        <v>0</v>
      </c>
      <c r="L111" s="9">
        <f>J111+K111</f>
        <v/>
      </c>
      <c r="M111" s="9" t="n">
        <v>0.2256944444444444</v>
      </c>
    </row>
    <row r="112">
      <c r="A112" s="14" t="inlineStr">
        <is>
          <t>2026-09-14</t>
        </is>
      </c>
      <c r="B112" s="14" t="inlineStr">
        <is>
          <t>Wk7  14 Sep–20 Sep</t>
        </is>
      </c>
      <c r="C112" s="14" t="inlineStr">
        <is>
          <t>Design</t>
        </is>
      </c>
      <c r="D112" s="14" t="inlineStr">
        <is>
          <t>Maaz Tareen</t>
        </is>
      </c>
      <c r="E112" s="14" t="inlineStr">
        <is>
          <t>UI/UX Designer</t>
        </is>
      </c>
      <c r="F112" s="14" t="inlineStr">
        <is>
          <t>MAQx</t>
        </is>
      </c>
      <c r="G112" s="15" t="inlineStr">
        <is>
          <t>Design Ad Campaigns</t>
        </is>
      </c>
      <c r="H112" s="15" t="inlineStr">
        <is>
          <t>Creating the ad campaign creatives.</t>
        </is>
      </c>
      <c r="I112" s="14" t="inlineStr">
        <is>
          <t>review</t>
        </is>
      </c>
      <c r="J112" s="9" t="n">
        <v>0.2444444444444444</v>
      </c>
      <c r="K112" s="9" t="n">
        <v>0</v>
      </c>
      <c r="L112" s="9">
        <f>J112+K112</f>
        <v/>
      </c>
      <c r="M112" s="9" t="n">
        <v>0.1180555555555556</v>
      </c>
    </row>
    <row r="113">
      <c r="A113" s="14" t="inlineStr">
        <is>
          <t>2026-09-14</t>
        </is>
      </c>
      <c r="B113" s="14" t="inlineStr">
        <is>
          <t>Wk7  14 Sep–20 Sep</t>
        </is>
      </c>
      <c r="C113" s="14" t="inlineStr">
        <is>
          <t>Design</t>
        </is>
      </c>
      <c r="D113" s="14" t="inlineStr">
        <is>
          <t>Maaz Tareen</t>
        </is>
      </c>
      <c r="E113" s="14" t="inlineStr">
        <is>
          <t>UI/UX Designer</t>
        </is>
      </c>
      <c r="F113" s="14" t="inlineStr">
        <is>
          <t>Academix Mentor</t>
        </is>
      </c>
      <c r="G113" s="15" t="inlineStr">
        <is>
          <t>Post Design</t>
        </is>
      </c>
      <c r="H113" s="15" t="inlineStr">
        <is>
          <t>Designing social posts from the client's content calendar.</t>
        </is>
      </c>
      <c r="I113" s="14" t="inlineStr">
        <is>
          <t>in_progress</t>
        </is>
      </c>
      <c r="J113" s="9" t="n">
        <v>0.2472222222222222</v>
      </c>
      <c r="K113" s="9" t="n">
        <v>0</v>
      </c>
      <c r="L113" s="9">
        <f>J113+K113</f>
        <v/>
      </c>
      <c r="M113" s="9" t="n">
        <v>0.2270833333333333</v>
      </c>
    </row>
    <row r="114">
      <c r="A114" s="14" t="inlineStr">
        <is>
          <t>2026-09-14</t>
        </is>
      </c>
      <c r="B114" s="14" t="inlineStr">
        <is>
          <t>Wk7  14 Sep–20 Sep</t>
        </is>
      </c>
      <c r="C114" s="14" t="inlineStr">
        <is>
          <t>Design</t>
        </is>
      </c>
      <c r="D114" s="14" t="inlineStr">
        <is>
          <t>Maaz Tareen</t>
        </is>
      </c>
      <c r="E114" s="14" t="inlineStr">
        <is>
          <t>UI/UX Designer</t>
        </is>
      </c>
      <c r="F114" s="14" t="inlineStr">
        <is>
          <t>MAQx</t>
        </is>
      </c>
      <c r="G114" s="15" t="inlineStr">
        <is>
          <t>Post designs</t>
        </is>
      </c>
      <c r="H114" s="15" t="inlineStr">
        <is>
          <t>Designing social media posts from the content calendar.</t>
        </is>
      </c>
      <c r="I114" s="14" t="inlineStr">
        <is>
          <t>todo</t>
        </is>
      </c>
      <c r="J114" s="9" t="n">
        <v>0.4513888888888889</v>
      </c>
      <c r="K114" s="9" t="n">
        <v>0</v>
      </c>
      <c r="L114" s="9">
        <f>J114+K114</f>
        <v/>
      </c>
      <c r="M114" s="9" t="n">
        <v>0.4465277777777778</v>
      </c>
    </row>
    <row r="115">
      <c r="A115" s="14" t="inlineStr">
        <is>
          <t>2026-09-14</t>
        </is>
      </c>
      <c r="B115" s="14" t="inlineStr">
        <is>
          <t>Wk7  14 Sep–20 Sep</t>
        </is>
      </c>
      <c r="C115" s="14" t="inlineStr">
        <is>
          <t>Design</t>
        </is>
      </c>
      <c r="D115" s="14" t="inlineStr">
        <is>
          <t>Maaz Tareen</t>
        </is>
      </c>
      <c r="E115" s="14" t="inlineStr">
        <is>
          <t>UI/UX Designer</t>
        </is>
      </c>
      <c r="F115" s="14" t="inlineStr">
        <is>
          <t>Linknbit</t>
        </is>
      </c>
      <c r="G115" s="15" t="inlineStr">
        <is>
          <t>Website Design</t>
        </is>
      </c>
      <c r="H115" s="15" t="inlineStr">
        <is>
          <t>Designing the new Linknbit company website.</t>
        </is>
      </c>
      <c r="I115" s="14" t="inlineStr">
        <is>
          <t>review</t>
        </is>
      </c>
      <c r="J115" s="9" t="n">
        <v>0.2319444444444445</v>
      </c>
      <c r="K115" s="9" t="n">
        <v>0</v>
      </c>
      <c r="L115" s="9">
        <f>J115+K115</f>
        <v/>
      </c>
      <c r="M115" s="9" t="n">
        <v>0.2083333333333333</v>
      </c>
    </row>
    <row r="116">
      <c r="A116" s="14" t="inlineStr">
        <is>
          <t>2026-08-03</t>
        </is>
      </c>
      <c r="B116" s="14" t="inlineStr">
        <is>
          <t>Wk1  03 Aug–09 Aug</t>
        </is>
      </c>
      <c r="C116" s="14" t="inlineStr">
        <is>
          <t>Development</t>
        </is>
      </c>
      <c r="D116" s="14" t="inlineStr">
        <is>
          <t>ADMIN</t>
        </is>
      </c>
      <c r="E116" s="14" t="inlineStr">
        <is>
          <t>—</t>
        </is>
      </c>
      <c r="F116" s="14" t="inlineStr">
        <is>
          <t>Linknbit Portal</t>
        </is>
      </c>
      <c r="G116" s="15" t="inlineStr">
        <is>
          <t>Add tasks/status</t>
        </is>
      </c>
      <c r="H116" s="15" t="inlineStr">
        <is>
          <t>Portal feature: manage task statuses in settings, like services.</t>
        </is>
      </c>
      <c r="I116" s="14" t="inlineStr">
        <is>
          <t>approved</t>
        </is>
      </c>
      <c r="J116" s="9" t="n">
        <v>0</v>
      </c>
      <c r="K116" s="9" t="n">
        <v>0</v>
      </c>
      <c r="L116" s="9">
        <f>J116+K116</f>
        <v/>
      </c>
      <c r="M116" s="9" t="n">
        <v>0</v>
      </c>
    </row>
    <row r="117">
      <c r="A117" s="14" t="inlineStr">
        <is>
          <t>2026-08-03</t>
        </is>
      </c>
      <c r="B117" s="14" t="inlineStr">
        <is>
          <t>Wk1  03 Aug–09 Aug</t>
        </is>
      </c>
      <c r="C117" s="14" t="inlineStr">
        <is>
          <t>Development</t>
        </is>
      </c>
      <c r="D117" s="14" t="inlineStr">
        <is>
          <t>ADMIN</t>
        </is>
      </c>
      <c r="E117" s="14" t="inlineStr">
        <is>
          <t>—</t>
        </is>
      </c>
      <c r="F117" s="14" t="inlineStr">
        <is>
          <t>Linknbit Portal</t>
        </is>
      </c>
      <c r="G117" s="15" t="inlineStr">
        <is>
          <t>create and delete message permission</t>
        </is>
      </c>
      <c r="H117" s="15" t="inlineStr">
        <is>
          <t>Portal: merging message permissions into channel administration.</t>
        </is>
      </c>
      <c r="I117" s="14" t="inlineStr">
        <is>
          <t>approved</t>
        </is>
      </c>
      <c r="J117" s="9" t="n">
        <v>0</v>
      </c>
      <c r="K117" s="9" t="n">
        <v>0.08333333333333333</v>
      </c>
      <c r="L117" s="9">
        <f>J117+K117</f>
        <v/>
      </c>
      <c r="M117" s="9" t="n">
        <v>0</v>
      </c>
    </row>
    <row r="118">
      <c r="A118" s="14" t="inlineStr">
        <is>
          <t>2026-08-03</t>
        </is>
      </c>
      <c r="B118" s="14" t="inlineStr">
        <is>
          <t>Wk1  03 Aug–09 Aug</t>
        </is>
      </c>
      <c r="C118" s="14" t="inlineStr">
        <is>
          <t>Development</t>
        </is>
      </c>
      <c r="D118" s="14" t="inlineStr">
        <is>
          <t>ADMIN</t>
        </is>
      </c>
      <c r="E118" s="14" t="inlineStr">
        <is>
          <t>—</t>
        </is>
      </c>
      <c r="F118" s="14" t="inlineStr">
        <is>
          <t>Linknbit Portal</t>
        </is>
      </c>
      <c r="G118" s="15" t="inlineStr">
        <is>
          <t>numbering UI</t>
        </is>
      </c>
      <c r="H118" s="15" t="inlineStr">
        <is>
          <t>Portal: numbered list formatting in the editor.</t>
        </is>
      </c>
      <c r="I118" s="14" t="inlineStr">
        <is>
          <t>completed</t>
        </is>
      </c>
      <c r="J118" s="9" t="n">
        <v>0</v>
      </c>
      <c r="K118" s="9" t="n">
        <v>0</v>
      </c>
      <c r="L118" s="9">
        <f>J118+K118</f>
        <v/>
      </c>
      <c r="M118" s="9" t="n">
        <v>0</v>
      </c>
    </row>
    <row r="119">
      <c r="A119" s="14" t="inlineStr">
        <is>
          <t>2026-08-03</t>
        </is>
      </c>
      <c r="B119" s="14" t="inlineStr">
        <is>
          <t>Wk1  03 Aug–09 Aug</t>
        </is>
      </c>
      <c r="C119" s="14" t="inlineStr">
        <is>
          <t>Development</t>
        </is>
      </c>
      <c r="D119" s="14" t="inlineStr">
        <is>
          <t>Abbas Khan</t>
        </is>
      </c>
      <c r="E119" s="14" t="inlineStr">
        <is>
          <t>CMS Developer and UI/UX Designer</t>
        </is>
      </c>
      <c r="F119" s="14" t="inlineStr">
        <is>
          <t>Greta Grove</t>
        </is>
      </c>
      <c r="G119" s="15" t="inlineStr">
        <is>
          <t>Customer Dashboard</t>
        </is>
      </c>
      <c r="H119" s="15" t="inlineStr">
        <is>
          <t>A customer account area: order history and profile details.</t>
        </is>
      </c>
      <c r="I119" s="14" t="inlineStr">
        <is>
          <t>completed</t>
        </is>
      </c>
      <c r="J119" s="9" t="n">
        <v>0.1430555555555555</v>
      </c>
      <c r="K119" s="9" t="n">
        <v>0</v>
      </c>
      <c r="L119" s="9">
        <f>J119+K119</f>
        <v/>
      </c>
      <c r="M119" s="9" t="n">
        <v>0</v>
      </c>
    </row>
    <row r="120">
      <c r="A120" s="14" t="inlineStr">
        <is>
          <t>2026-08-03</t>
        </is>
      </c>
      <c r="B120" s="14" t="inlineStr">
        <is>
          <t>Wk1  03 Aug–09 Aug</t>
        </is>
      </c>
      <c r="C120" s="14" t="inlineStr">
        <is>
          <t>Development</t>
        </is>
      </c>
      <c r="D120" s="14" t="inlineStr">
        <is>
          <t>Muhammad Yahya</t>
        </is>
      </c>
      <c r="E120" s="14" t="inlineStr">
        <is>
          <t>Software Engineer I</t>
        </is>
      </c>
      <c r="F120" s="14" t="inlineStr">
        <is>
          <t>Zedan</t>
        </is>
      </c>
      <c r="G120" s="15" t="inlineStr">
        <is>
          <t>Zedan - Responsive Design Fixes</t>
        </is>
      </c>
      <c r="H120" s="15" t="inlineStr">
        <is>
          <t>Fixing layout across desktop, tablet and mobile.</t>
        </is>
      </c>
      <c r="I120" s="14" t="inlineStr">
        <is>
          <t>approved</t>
        </is>
      </c>
      <c r="J120" s="9" t="n">
        <v>0.06805555555555555</v>
      </c>
      <c r="K120" s="9" t="n">
        <v>0</v>
      </c>
      <c r="L120" s="9">
        <f>J120+K120</f>
        <v/>
      </c>
      <c r="M120" s="9" t="n">
        <v>0</v>
      </c>
    </row>
    <row r="121">
      <c r="A121" s="14" t="inlineStr">
        <is>
          <t>2026-08-03</t>
        </is>
      </c>
      <c r="B121" s="14" t="inlineStr">
        <is>
          <t>Wk1  03 Aug–09 Aug</t>
        </is>
      </c>
      <c r="C121" s="14" t="inlineStr">
        <is>
          <t>Development</t>
        </is>
      </c>
      <c r="D121" s="14" t="inlineStr">
        <is>
          <t>Muhammad Yahya</t>
        </is>
      </c>
      <c r="E121" s="14" t="inlineStr">
        <is>
          <t>Software Engineer I</t>
        </is>
      </c>
      <c r="F121" s="14" t="inlineStr">
        <is>
          <t>Zedan</t>
        </is>
      </c>
      <c r="G121" s="15" t="inlineStr">
        <is>
          <t>Zedan Q/A Fixes</t>
        </is>
      </c>
      <c r="H121" s="15" t="inlineStr">
        <is>
          <t>Fixing issues found during quality testing.</t>
        </is>
      </c>
      <c r="I121" s="14" t="inlineStr">
        <is>
          <t>completed</t>
        </is>
      </c>
      <c r="J121" s="9" t="n">
        <v>0.1409722222222222</v>
      </c>
      <c r="K121" s="9" t="n">
        <v>0</v>
      </c>
      <c r="L121" s="9">
        <f>J121+K121</f>
        <v/>
      </c>
      <c r="M121" s="9" t="n">
        <v>0</v>
      </c>
    </row>
    <row r="122">
      <c r="A122" s="14" t="inlineStr">
        <is>
          <t>2026-08-03</t>
        </is>
      </c>
      <c r="B122" s="14" t="inlineStr">
        <is>
          <t>Wk1  03 Aug–09 Aug</t>
        </is>
      </c>
      <c r="C122" s="14" t="inlineStr">
        <is>
          <t>Development</t>
        </is>
      </c>
      <c r="D122" s="14" t="inlineStr">
        <is>
          <t>Zain Malik</t>
        </is>
      </c>
      <c r="E122" s="14" t="inlineStr">
        <is>
          <t>Software Engineer II</t>
        </is>
      </c>
      <c r="F122" s="14" t="inlineStr">
        <is>
          <t>Linknbit Portal</t>
        </is>
      </c>
      <c r="G122" s="15" t="inlineStr">
        <is>
          <t>Add tasks/status</t>
        </is>
      </c>
      <c r="H122" s="15" t="inlineStr">
        <is>
          <t>Portal feature: manage task statuses in settings, like services.</t>
        </is>
      </c>
      <c r="I122" s="14" t="inlineStr">
        <is>
          <t>approved</t>
        </is>
      </c>
      <c r="J122" s="9" t="n">
        <v>0</v>
      </c>
      <c r="K122" s="9" t="n">
        <v>0.33125</v>
      </c>
      <c r="L122" s="9">
        <f>J122+K122</f>
        <v/>
      </c>
      <c r="M122" s="9" t="n">
        <v>0</v>
      </c>
    </row>
    <row r="123">
      <c r="A123" s="14" t="inlineStr">
        <is>
          <t>2026-08-03</t>
        </is>
      </c>
      <c r="B123" s="14" t="inlineStr">
        <is>
          <t>Wk1  03 Aug–09 Aug</t>
        </is>
      </c>
      <c r="C123" s="14" t="inlineStr">
        <is>
          <t>Development</t>
        </is>
      </c>
      <c r="D123" s="14" t="inlineStr">
        <is>
          <t>Zain Malik</t>
        </is>
      </c>
      <c r="E123" s="14" t="inlineStr">
        <is>
          <t>Software Engineer II</t>
        </is>
      </c>
      <c r="F123" s="14" t="inlineStr">
        <is>
          <t>Linknbit Portal</t>
        </is>
      </c>
      <c r="G123" s="15" t="inlineStr">
        <is>
          <t>Time tracker</t>
        </is>
      </c>
      <c r="H123" s="15" t="inlineStr">
        <is>
          <t>Portal: a ClickUp-style time tracker.</t>
        </is>
      </c>
      <c r="I123" s="14" t="inlineStr">
        <is>
          <t>completed</t>
        </is>
      </c>
      <c r="J123" s="9" t="n">
        <v>0.002083333333333333</v>
      </c>
      <c r="K123" s="9" t="n">
        <v>0</v>
      </c>
      <c r="L123" s="9">
        <f>J123+K123</f>
        <v/>
      </c>
      <c r="M123" s="9" t="n">
        <v>0</v>
      </c>
    </row>
    <row r="124">
      <c r="A124" s="14" t="inlineStr">
        <is>
          <t>2026-08-03</t>
        </is>
      </c>
      <c r="B124" s="14" t="inlineStr">
        <is>
          <t>Wk1  03 Aug–09 Aug</t>
        </is>
      </c>
      <c r="C124" s="14" t="inlineStr">
        <is>
          <t>Development</t>
        </is>
      </c>
      <c r="D124" s="14" t="inlineStr">
        <is>
          <t>Zain Malik</t>
        </is>
      </c>
      <c r="E124" s="14" t="inlineStr">
        <is>
          <t>Software Engineer II</t>
        </is>
      </c>
      <c r="F124" s="14" t="inlineStr">
        <is>
          <t>Linknbit Portal</t>
        </is>
      </c>
      <c r="G124" s="15" t="inlineStr">
        <is>
          <t>me mode</t>
        </is>
      </c>
      <c r="H124" s="15" t="inlineStr">
        <is>
          <t>Portal: a 'only my items' filter, like ClickUp's.</t>
        </is>
      </c>
      <c r="I124" s="14" t="inlineStr">
        <is>
          <t>completed</t>
        </is>
      </c>
      <c r="J124" s="9" t="n">
        <v>0</v>
      </c>
      <c r="K124" s="9" t="n">
        <v>0.08333333333333333</v>
      </c>
      <c r="L124" s="9">
        <f>J124+K124</f>
        <v/>
      </c>
      <c r="M124" s="9" t="n">
        <v>0</v>
      </c>
    </row>
    <row r="125">
      <c r="A125" s="14" t="inlineStr">
        <is>
          <t>2026-08-03</t>
        </is>
      </c>
      <c r="B125" s="14" t="inlineStr">
        <is>
          <t>Wk1  03 Aug–09 Aug</t>
        </is>
      </c>
      <c r="C125" s="14" t="inlineStr">
        <is>
          <t>Development</t>
        </is>
      </c>
      <c r="D125" s="14" t="inlineStr">
        <is>
          <t>Zain Malik</t>
        </is>
      </c>
      <c r="E125" s="14" t="inlineStr">
        <is>
          <t>Software Engineer II</t>
        </is>
      </c>
      <c r="F125" s="14" t="inlineStr">
        <is>
          <t>Linknbit Portal</t>
        </is>
      </c>
      <c r="G125" s="15" t="inlineStr">
        <is>
          <t>numbering UI</t>
        </is>
      </c>
      <c r="H125" s="15" t="inlineStr">
        <is>
          <t>Portal: numbered list formatting in the editor.</t>
        </is>
      </c>
      <c r="I125" s="14" t="inlineStr">
        <is>
          <t>completed</t>
        </is>
      </c>
      <c r="J125" s="9" t="n">
        <v>0.02638888888888889</v>
      </c>
      <c r="K125" s="9" t="n">
        <v>0</v>
      </c>
      <c r="L125" s="9">
        <f>J125+K125</f>
        <v/>
      </c>
      <c r="M125" s="9" t="n">
        <v>0</v>
      </c>
    </row>
    <row r="126">
      <c r="A126" s="14" t="inlineStr">
        <is>
          <t>2026-08-03</t>
        </is>
      </c>
      <c r="B126" s="14" t="inlineStr">
        <is>
          <t>Wk1  03 Aug–09 Aug</t>
        </is>
      </c>
      <c r="C126" s="14" t="inlineStr">
        <is>
          <t>Development</t>
        </is>
      </c>
      <c r="D126" s="14" t="inlineStr">
        <is>
          <t>khizer hayat</t>
        </is>
      </c>
      <c r="E126" s="14" t="inlineStr">
        <is>
          <t>CMS Developer</t>
        </is>
      </c>
      <c r="F126" s="14" t="inlineStr">
        <is>
          <t>Neowall</t>
        </is>
      </c>
      <c r="G126" s="15" t="inlineStr">
        <is>
          <t>Make the draft fencing live</t>
        </is>
      </c>
      <c r="H126" s="15" t="inlineStr">
        <is>
          <t>Publishing the drafted fencing page.</t>
        </is>
      </c>
      <c r="I126" s="14" t="inlineStr">
        <is>
          <t>completed</t>
        </is>
      </c>
      <c r="J126" s="9" t="n">
        <v>0.0006944444444444445</v>
      </c>
      <c r="K126" s="9" t="n">
        <v>0</v>
      </c>
      <c r="L126" s="9">
        <f>J126+K126</f>
        <v/>
      </c>
      <c r="M126" s="9" t="n">
        <v>0</v>
      </c>
    </row>
    <row r="127">
      <c r="A127" s="14" t="inlineStr">
        <is>
          <t>2026-08-03</t>
        </is>
      </c>
      <c r="B127" s="14" t="inlineStr">
        <is>
          <t>Wk1  03 Aug–09 Aug</t>
        </is>
      </c>
      <c r="C127" s="14" t="inlineStr">
        <is>
          <t>Development</t>
        </is>
      </c>
      <c r="D127" s="14" t="inlineStr">
        <is>
          <t>khizer hayat</t>
        </is>
      </c>
      <c r="E127" s="14" t="inlineStr">
        <is>
          <t>CMS Developer</t>
        </is>
      </c>
      <c r="F127" s="14" t="inlineStr">
        <is>
          <t>Zedan</t>
        </is>
      </c>
      <c r="G127" s="15" t="inlineStr">
        <is>
          <t>Mega menu creation</t>
        </is>
      </c>
      <c r="H127" s="15" t="inlineStr">
        <is>
          <t>Building the large dropdown navigation menu.</t>
        </is>
      </c>
      <c r="I127" s="14" t="inlineStr">
        <is>
          <t>approved</t>
        </is>
      </c>
      <c r="J127" s="9" t="n">
        <v>0.1125</v>
      </c>
      <c r="K127" s="9" t="n">
        <v>0.1041666666666667</v>
      </c>
      <c r="L127" s="9">
        <f>J127+K127</f>
        <v/>
      </c>
      <c r="M127" s="9" t="n">
        <v>0</v>
      </c>
    </row>
    <row r="128">
      <c r="A128" s="14" t="inlineStr">
        <is>
          <t>2026-08-03</t>
        </is>
      </c>
      <c r="B128" s="14" t="inlineStr">
        <is>
          <t>Wk1  03 Aug–09 Aug</t>
        </is>
      </c>
      <c r="C128" s="14" t="inlineStr">
        <is>
          <t>Development</t>
        </is>
      </c>
      <c r="D128" s="14" t="inlineStr">
        <is>
          <t>khizer hayat</t>
        </is>
      </c>
      <c r="E128" s="14" t="inlineStr">
        <is>
          <t>CMS Developer</t>
        </is>
      </c>
      <c r="F128" s="14" t="inlineStr">
        <is>
          <t>Zedan</t>
        </is>
      </c>
      <c r="G128" s="15" t="inlineStr">
        <is>
          <t>Zedan Q/A Fixes</t>
        </is>
      </c>
      <c r="H128" s="15" t="inlineStr">
        <is>
          <t>Fixing issues found during quality testing.</t>
        </is>
      </c>
      <c r="I128" s="14" t="inlineStr">
        <is>
          <t>completed</t>
        </is>
      </c>
      <c r="J128" s="9" t="n">
        <v>0.1791666666666667</v>
      </c>
      <c r="K128" s="9" t="n">
        <v>0</v>
      </c>
      <c r="L128" s="9">
        <f>J128+K128</f>
        <v/>
      </c>
      <c r="M128" s="9" t="n">
        <v>0</v>
      </c>
    </row>
    <row r="129">
      <c r="A129" s="14" t="inlineStr">
        <is>
          <t>2026-08-10</t>
        </is>
      </c>
      <c r="B129" s="14" t="inlineStr">
        <is>
          <t>Wk2  10 Aug–16 Aug</t>
        </is>
      </c>
      <c r="C129" s="14" t="inlineStr">
        <is>
          <t>Development</t>
        </is>
      </c>
      <c r="D129" s="14" t="inlineStr">
        <is>
          <t>Abbas Khan</t>
        </is>
      </c>
      <c r="E129" s="14" t="inlineStr">
        <is>
          <t>CMS Developer and UI/UX Designer</t>
        </is>
      </c>
      <c r="F129" s="14" t="inlineStr">
        <is>
          <t>Oasis Fertility</t>
        </is>
      </c>
      <c r="G129" s="15" t="inlineStr">
        <is>
          <t>Oasis: New changes/Imrpovments</t>
        </is>
      </c>
      <c r="H129" s="15" t="inlineStr">
        <is>
          <t>Changes and improvements the client asked for.</t>
        </is>
      </c>
      <c r="I129" s="14" t="inlineStr">
        <is>
          <t>approved</t>
        </is>
      </c>
      <c r="J129" s="9" t="n">
        <v>0.4347222222222222</v>
      </c>
      <c r="K129" s="9" t="n">
        <v>0</v>
      </c>
      <c r="L129" s="9">
        <f>J129+K129</f>
        <v/>
      </c>
      <c r="M129" s="9" t="n">
        <v>0</v>
      </c>
    </row>
    <row r="130">
      <c r="A130" s="14" t="inlineStr">
        <is>
          <t>2026-08-10</t>
        </is>
      </c>
      <c r="B130" s="14" t="inlineStr">
        <is>
          <t>Wk2  10 Aug–16 Aug</t>
        </is>
      </c>
      <c r="C130" s="14" t="inlineStr">
        <is>
          <t>Development</t>
        </is>
      </c>
      <c r="D130" s="14" t="inlineStr">
        <is>
          <t>Muhammad Yahya</t>
        </is>
      </c>
      <c r="E130" s="14" t="inlineStr">
        <is>
          <t>Software Engineer I</t>
        </is>
      </c>
      <c r="F130" s="14" t="inlineStr">
        <is>
          <t>Zedan</t>
        </is>
      </c>
      <c r="G130" s="15" t="inlineStr">
        <is>
          <t>Deployment + Fixes + Improvements</t>
        </is>
      </c>
      <c r="H130" s="15" t="inlineStr">
        <is>
          <t>Deploying the site plus fixes and improvements.</t>
        </is>
      </c>
      <c r="I130" s="14" t="inlineStr">
        <is>
          <t>approved</t>
        </is>
      </c>
      <c r="J130" s="9" t="n">
        <v>0.05208333333333334</v>
      </c>
      <c r="K130" s="9" t="n">
        <v>0</v>
      </c>
      <c r="L130" s="9">
        <f>J130+K130</f>
        <v/>
      </c>
      <c r="M130" s="9" t="n">
        <v>0</v>
      </c>
    </row>
    <row r="131">
      <c r="A131" s="14" t="inlineStr">
        <is>
          <t>2026-08-10</t>
        </is>
      </c>
      <c r="B131" s="14" t="inlineStr">
        <is>
          <t>Wk2  10 Aug–16 Aug</t>
        </is>
      </c>
      <c r="C131" s="14" t="inlineStr">
        <is>
          <t>Development</t>
        </is>
      </c>
      <c r="D131" s="14" t="inlineStr">
        <is>
          <t>Muhammad Yahya</t>
        </is>
      </c>
      <c r="E131" s="14" t="inlineStr">
        <is>
          <t>Software Engineer I</t>
        </is>
      </c>
      <c r="F131" s="14" t="inlineStr">
        <is>
          <t>Oasis Fertility</t>
        </is>
      </c>
      <c r="G131" s="15" t="inlineStr">
        <is>
          <t>Oasis: New changes/Imrpovments</t>
        </is>
      </c>
      <c r="H131" s="15" t="inlineStr">
        <is>
          <t>Changes and improvements the client asked for.</t>
        </is>
      </c>
      <c r="I131" s="14" t="inlineStr">
        <is>
          <t>approved</t>
        </is>
      </c>
      <c r="J131" s="9" t="n">
        <v>0.3458333333333333</v>
      </c>
      <c r="K131" s="9" t="n">
        <v>0</v>
      </c>
      <c r="L131" s="9">
        <f>J131+K131</f>
        <v/>
      </c>
      <c r="M131" s="9" t="n">
        <v>0</v>
      </c>
    </row>
    <row r="132">
      <c r="A132" s="14" t="inlineStr">
        <is>
          <t>2026-08-10</t>
        </is>
      </c>
      <c r="B132" s="14" t="inlineStr">
        <is>
          <t>Wk2  10 Aug–16 Aug</t>
        </is>
      </c>
      <c r="C132" s="14" t="inlineStr">
        <is>
          <t>Development</t>
        </is>
      </c>
      <c r="D132" s="14" t="inlineStr">
        <is>
          <t>Sajawal Khan</t>
        </is>
      </c>
      <c r="E132" s="14" t="inlineStr">
        <is>
          <t>Web Content Specialist</t>
        </is>
      </c>
      <c r="F132" s="14" t="inlineStr">
        <is>
          <t>Neowall</t>
        </is>
      </c>
      <c r="G132" s="15" t="inlineStr">
        <is>
          <t>Add Co-Extrusion products in the site</t>
        </is>
      </c>
      <c r="H132" s="15" t="inlineStr">
        <is>
          <t>Adding the co-extrusion product range to the site.</t>
        </is>
      </c>
      <c r="I132" s="14" t="inlineStr">
        <is>
          <t>completed</t>
        </is>
      </c>
      <c r="J132" s="9" t="n">
        <v>0.2375</v>
      </c>
      <c r="K132" s="9" t="n">
        <v>0</v>
      </c>
      <c r="L132" s="9">
        <f>J132+K132</f>
        <v/>
      </c>
      <c r="M132" s="9" t="n">
        <v>0</v>
      </c>
    </row>
    <row r="133">
      <c r="A133" s="14" t="inlineStr">
        <is>
          <t>2026-08-10</t>
        </is>
      </c>
      <c r="B133" s="14" t="inlineStr">
        <is>
          <t>Wk2  10 Aug–16 Aug</t>
        </is>
      </c>
      <c r="C133" s="14" t="inlineStr">
        <is>
          <t>Development</t>
        </is>
      </c>
      <c r="D133" s="14" t="inlineStr">
        <is>
          <t>Sajawal Khan</t>
        </is>
      </c>
      <c r="E133" s="14" t="inlineStr">
        <is>
          <t>Web Content Specialist</t>
        </is>
      </c>
      <c r="F133" s="14" t="inlineStr">
        <is>
          <t>Builders Trade Depot</t>
        </is>
      </c>
      <c r="G133" s="15" t="inlineStr">
        <is>
          <t>Add Products and Cllections</t>
        </is>
      </c>
      <c r="H133" s="15" t="inlineStr">
        <is>
          <t>Uploading products and creating a sub-collection.</t>
        </is>
      </c>
      <c r="I133" s="14" t="inlineStr">
        <is>
          <t>approved</t>
        </is>
      </c>
      <c r="J133" s="9" t="n">
        <v>0.1388888888888889</v>
      </c>
      <c r="K133" s="9" t="n">
        <v>0</v>
      </c>
      <c r="L133" s="9">
        <f>J133+K133</f>
        <v/>
      </c>
      <c r="M133" s="9" t="n">
        <v>0</v>
      </c>
    </row>
    <row r="134">
      <c r="A134" s="14" t="inlineStr">
        <is>
          <t>2026-08-10</t>
        </is>
      </c>
      <c r="B134" s="14" t="inlineStr">
        <is>
          <t>Wk2  10 Aug–16 Aug</t>
        </is>
      </c>
      <c r="C134" s="14" t="inlineStr">
        <is>
          <t>Development</t>
        </is>
      </c>
      <c r="D134" s="14" t="inlineStr">
        <is>
          <t>Sajawal Khan</t>
        </is>
      </c>
      <c r="E134" s="14" t="inlineStr">
        <is>
          <t>Web Content Specialist</t>
        </is>
      </c>
      <c r="F134" s="14" t="inlineStr">
        <is>
          <t>Neowall</t>
        </is>
      </c>
      <c r="G134" s="15" t="inlineStr">
        <is>
          <t>Apply the ammendments requested by client</t>
        </is>
      </c>
      <c r="H134" s="15" t="inlineStr">
        <is>
          <t>Applying the client's requested website amendments.</t>
        </is>
      </c>
      <c r="I134" s="14" t="inlineStr">
        <is>
          <t>completed</t>
        </is>
      </c>
      <c r="J134" s="9" t="n">
        <v>0.02638888888888889</v>
      </c>
      <c r="K134" s="9" t="n">
        <v>0</v>
      </c>
      <c r="L134" s="9">
        <f>J134+K134</f>
        <v/>
      </c>
      <c r="M134" s="9" t="n">
        <v>0</v>
      </c>
    </row>
    <row r="135">
      <c r="A135" s="14" t="inlineStr">
        <is>
          <t>2026-08-10</t>
        </is>
      </c>
      <c r="B135" s="14" t="inlineStr">
        <is>
          <t>Wk2  10 Aug–16 Aug</t>
        </is>
      </c>
      <c r="C135" s="14" t="inlineStr">
        <is>
          <t>Development</t>
        </is>
      </c>
      <c r="D135" s="14" t="inlineStr">
        <is>
          <t>Sajawal Khan</t>
        </is>
      </c>
      <c r="E135" s="14" t="inlineStr">
        <is>
          <t>Web Content Specialist</t>
        </is>
      </c>
      <c r="F135" s="14" t="inlineStr">
        <is>
          <t>Builders Trade Depot</t>
        </is>
      </c>
      <c r="G135" s="15" t="inlineStr">
        <is>
          <t>Sub Category Archive Page Creation</t>
        </is>
      </c>
      <c r="H135" s="15" t="inlineStr">
        <is>
          <t>Creating the subcategory archive pages.</t>
        </is>
      </c>
      <c r="I135" s="14" t="inlineStr">
        <is>
          <t>approved</t>
        </is>
      </c>
      <c r="J135" s="9" t="n">
        <v>0.05138888888888889</v>
      </c>
      <c r="K135" s="9" t="n">
        <v>0</v>
      </c>
      <c r="L135" s="9">
        <f>J135+K135</f>
        <v/>
      </c>
      <c r="M135" s="9" t="n">
        <v>0</v>
      </c>
    </row>
    <row r="136">
      <c r="A136" s="14" t="inlineStr">
        <is>
          <t>2026-08-10</t>
        </is>
      </c>
      <c r="B136" s="14" t="inlineStr">
        <is>
          <t>Wk2  10 Aug–16 Aug</t>
        </is>
      </c>
      <c r="C136" s="14" t="inlineStr">
        <is>
          <t>Development</t>
        </is>
      </c>
      <c r="D136" s="14" t="inlineStr">
        <is>
          <t>Sajawal Khan</t>
        </is>
      </c>
      <c r="E136" s="14" t="inlineStr">
        <is>
          <t>Web Content Specialist</t>
        </is>
      </c>
      <c r="F136" s="14" t="inlineStr">
        <is>
          <t>Zedan</t>
        </is>
      </c>
      <c r="G136" s="15" t="inlineStr">
        <is>
          <t>Zedan Q/A Fixes</t>
        </is>
      </c>
      <c r="H136" s="15" t="inlineStr">
        <is>
          <t>Fixing issues found during quality testing.</t>
        </is>
      </c>
      <c r="I136" s="14" t="inlineStr">
        <is>
          <t>completed</t>
        </is>
      </c>
      <c r="J136" s="9" t="n">
        <v>0.01180555555555556</v>
      </c>
      <c r="K136" s="9" t="n">
        <v>0</v>
      </c>
      <c r="L136" s="9">
        <f>J136+K136</f>
        <v/>
      </c>
      <c r="M136" s="9" t="n">
        <v>0</v>
      </c>
    </row>
    <row r="137">
      <c r="A137" s="14" t="inlineStr">
        <is>
          <t>2026-08-10</t>
        </is>
      </c>
      <c r="B137" s="14" t="inlineStr">
        <is>
          <t>Wk2  10 Aug–16 Aug</t>
        </is>
      </c>
      <c r="C137" s="14" t="inlineStr">
        <is>
          <t>Development</t>
        </is>
      </c>
      <c r="D137" s="14" t="inlineStr">
        <is>
          <t>Zain Malik</t>
        </is>
      </c>
      <c r="E137" s="14" t="inlineStr">
        <is>
          <t>Software Engineer II</t>
        </is>
      </c>
      <c r="F137" s="14" t="inlineStr">
        <is>
          <t>Cricket Sansar</t>
        </is>
      </c>
      <c r="G137" s="15" t="inlineStr">
        <is>
          <t>Ios Resubmission</t>
        </is>
      </c>
      <c r="H137" s="15" t="inlineStr">
        <is>
          <t>Resubmitting the iOS app with Apple's required changes.</t>
        </is>
      </c>
      <c r="I137" s="14" t="inlineStr">
        <is>
          <t>completed</t>
        </is>
      </c>
      <c r="J137" s="9" t="n">
        <v>0.006944444444444444</v>
      </c>
      <c r="K137" s="9" t="n">
        <v>0</v>
      </c>
      <c r="L137" s="9">
        <f>J137+K137</f>
        <v/>
      </c>
      <c r="M137" s="9" t="n">
        <v>0</v>
      </c>
    </row>
    <row r="138">
      <c r="A138" s="14" t="inlineStr">
        <is>
          <t>2026-08-10</t>
        </is>
      </c>
      <c r="B138" s="14" t="inlineStr">
        <is>
          <t>Wk2  10 Aug–16 Aug</t>
        </is>
      </c>
      <c r="C138" s="14" t="inlineStr">
        <is>
          <t>Development</t>
        </is>
      </c>
      <c r="D138" s="14" t="inlineStr">
        <is>
          <t>Zain Malik</t>
        </is>
      </c>
      <c r="E138" s="14" t="inlineStr">
        <is>
          <t>Software Engineer II</t>
        </is>
      </c>
      <c r="F138" s="14" t="inlineStr">
        <is>
          <t>Linknbit Portal</t>
        </is>
      </c>
      <c r="G138" s="15" t="inlineStr">
        <is>
          <t>Restriction on moving tasks</t>
        </is>
      </c>
      <c r="H138" s="15" t="inlineStr">
        <is>
          <t>Portal: only PMs and Team Leads may close or approve tasks.</t>
        </is>
      </c>
      <c r="I138" s="14" t="inlineStr">
        <is>
          <t>approved</t>
        </is>
      </c>
      <c r="J138" s="9" t="n">
        <v>0.009722222222222222</v>
      </c>
      <c r="K138" s="9" t="n">
        <v>0</v>
      </c>
      <c r="L138" s="9">
        <f>J138+K138</f>
        <v/>
      </c>
      <c r="M138" s="9" t="n">
        <v>0</v>
      </c>
    </row>
    <row r="139">
      <c r="A139" s="14" t="inlineStr">
        <is>
          <t>2026-08-10</t>
        </is>
      </c>
      <c r="B139" s="14" t="inlineStr">
        <is>
          <t>Wk2  10 Aug–16 Aug</t>
        </is>
      </c>
      <c r="C139" s="14" t="inlineStr">
        <is>
          <t>Development</t>
        </is>
      </c>
      <c r="D139" s="14" t="inlineStr">
        <is>
          <t>khizer hayat</t>
        </is>
      </c>
      <c r="E139" s="14" t="inlineStr">
        <is>
          <t>CMS Developer</t>
        </is>
      </c>
      <c r="F139" s="14" t="inlineStr">
        <is>
          <t>Neowall</t>
        </is>
      </c>
      <c r="G139" s="15" t="inlineStr">
        <is>
          <t>Apply the ammendments requested by client</t>
        </is>
      </c>
      <c r="H139" s="15" t="inlineStr">
        <is>
          <t>Applying the client's requested website amendments.</t>
        </is>
      </c>
      <c r="I139" s="14" t="inlineStr">
        <is>
          <t>completed</t>
        </is>
      </c>
      <c r="J139" s="9" t="n">
        <v>0.1791666666666667</v>
      </c>
      <c r="K139" s="9" t="n">
        <v>0</v>
      </c>
      <c r="L139" s="9">
        <f>J139+K139</f>
        <v/>
      </c>
      <c r="M139" s="9" t="n">
        <v>0</v>
      </c>
    </row>
    <row r="140">
      <c r="A140" s="14" t="inlineStr">
        <is>
          <t>2026-08-10</t>
        </is>
      </c>
      <c r="B140" s="14" t="inlineStr">
        <is>
          <t>Wk2  10 Aug–16 Aug</t>
        </is>
      </c>
      <c r="C140" s="14" t="inlineStr">
        <is>
          <t>Development</t>
        </is>
      </c>
      <c r="D140" s="14" t="inlineStr">
        <is>
          <t>khizer hayat</t>
        </is>
      </c>
      <c r="E140" s="14" t="inlineStr">
        <is>
          <t>CMS Developer</t>
        </is>
      </c>
      <c r="F140" s="14" t="inlineStr">
        <is>
          <t>Zedan</t>
        </is>
      </c>
      <c r="G140" s="15" t="inlineStr">
        <is>
          <t>Deployment + Fixes + Improvements</t>
        </is>
      </c>
      <c r="H140" s="15" t="inlineStr">
        <is>
          <t>Deploying the site plus fixes and improvements.</t>
        </is>
      </c>
      <c r="I140" s="14" t="inlineStr">
        <is>
          <t>approved</t>
        </is>
      </c>
      <c r="J140" s="9" t="n">
        <v>0.1347222222222222</v>
      </c>
      <c r="K140" s="9" t="n">
        <v>0</v>
      </c>
      <c r="L140" s="9">
        <f>J140+K140</f>
        <v/>
      </c>
      <c r="M140" s="9" t="n">
        <v>0</v>
      </c>
    </row>
    <row r="141">
      <c r="A141" s="14" t="inlineStr">
        <is>
          <t>2026-08-10</t>
        </is>
      </c>
      <c r="B141" s="14" t="inlineStr">
        <is>
          <t>Wk2  10 Aug–16 Aug</t>
        </is>
      </c>
      <c r="C141" s="14" t="inlineStr">
        <is>
          <t>Development</t>
        </is>
      </c>
      <c r="D141" s="14" t="inlineStr">
        <is>
          <t>khizer hayat</t>
        </is>
      </c>
      <c r="E141" s="14" t="inlineStr">
        <is>
          <t>CMS Developer</t>
        </is>
      </c>
      <c r="F141" s="14" t="inlineStr">
        <is>
          <t>Builders Trade Depot</t>
        </is>
      </c>
      <c r="G141" s="15" t="inlineStr">
        <is>
          <t>Sub Category Archive Page Creation</t>
        </is>
      </c>
      <c r="H141" s="15" t="inlineStr">
        <is>
          <t>Creating the subcategory archive pages.</t>
        </is>
      </c>
      <c r="I141" s="14" t="inlineStr">
        <is>
          <t>approved</t>
        </is>
      </c>
      <c r="J141" s="9" t="n">
        <v>0.02361111111111111</v>
      </c>
      <c r="K141" s="9" t="n">
        <v>0</v>
      </c>
      <c r="L141" s="9">
        <f>J141+K141</f>
        <v/>
      </c>
      <c r="M141" s="9" t="n">
        <v>0</v>
      </c>
    </row>
    <row r="142">
      <c r="A142" s="14" t="inlineStr">
        <is>
          <t>2026-08-17</t>
        </is>
      </c>
      <c r="B142" s="14" t="inlineStr">
        <is>
          <t>Wk3  17 Aug–23 Aug</t>
        </is>
      </c>
      <c r="C142" s="14" t="inlineStr">
        <is>
          <t>Development</t>
        </is>
      </c>
      <c r="D142" s="14" t="inlineStr">
        <is>
          <t>ADMIN</t>
        </is>
      </c>
      <c r="E142" s="14" t="inlineStr">
        <is>
          <t>—</t>
        </is>
      </c>
      <c r="F142" s="14" t="inlineStr">
        <is>
          <t>Greta Grove</t>
        </is>
      </c>
      <c r="G142" s="15" t="inlineStr">
        <is>
          <t>Auto-logout</t>
        </is>
      </c>
      <c r="H142" s="15" t="inlineStr">
        <is>
          <t>Logging customers out after 7 days of inactivity.</t>
        </is>
      </c>
      <c r="I142" s="14" t="inlineStr">
        <is>
          <t>completed</t>
        </is>
      </c>
      <c r="J142" s="9" t="n">
        <v>0</v>
      </c>
      <c r="K142" s="9" t="n">
        <v>0.08333333333333333</v>
      </c>
      <c r="L142" s="9">
        <f>J142+K142</f>
        <v/>
      </c>
      <c r="M142" s="9" t="n">
        <v>0</v>
      </c>
    </row>
    <row r="143">
      <c r="A143" s="14" t="inlineStr">
        <is>
          <t>2026-08-17</t>
        </is>
      </c>
      <c r="B143" s="14" t="inlineStr">
        <is>
          <t>Wk3  17 Aug–23 Aug</t>
        </is>
      </c>
      <c r="C143" s="14" t="inlineStr">
        <is>
          <t>Development</t>
        </is>
      </c>
      <c r="D143" s="14" t="inlineStr">
        <is>
          <t>Abbas Khan</t>
        </is>
      </c>
      <c r="E143" s="14" t="inlineStr">
        <is>
          <t>CMS Developer and UI/UX Designer</t>
        </is>
      </c>
      <c r="F143" s="14" t="inlineStr">
        <is>
          <t>Oasis Fertility</t>
        </is>
      </c>
      <c r="G143" s="15" t="inlineStr">
        <is>
          <t>Embed for the buttons and form/contact us button</t>
        </is>
      </c>
      <c r="H143" s="15" t="inlineStr">
        <is>
          <t>Embedding the booking widget script on buttons and forms.</t>
        </is>
      </c>
      <c r="I143" s="14" t="inlineStr">
        <is>
          <t>approved</t>
        </is>
      </c>
      <c r="J143" s="9" t="n">
        <v>0.00625</v>
      </c>
      <c r="K143" s="9" t="n">
        <v>0</v>
      </c>
      <c r="L143" s="9">
        <f>J143+K143</f>
        <v/>
      </c>
      <c r="M143" s="9" t="n">
        <v>0</v>
      </c>
    </row>
    <row r="144">
      <c r="A144" s="14" t="inlineStr">
        <is>
          <t>2026-08-17</t>
        </is>
      </c>
      <c r="B144" s="14" t="inlineStr">
        <is>
          <t>Wk3  17 Aug–23 Aug</t>
        </is>
      </c>
      <c r="C144" s="14" t="inlineStr">
        <is>
          <t>Development</t>
        </is>
      </c>
      <c r="D144" s="14" t="inlineStr">
        <is>
          <t>Abbas Khan</t>
        </is>
      </c>
      <c r="E144" s="14" t="inlineStr">
        <is>
          <t>CMS Developer and UI/UX Designer</t>
        </is>
      </c>
      <c r="F144" s="14" t="inlineStr">
        <is>
          <t>Greta Grove</t>
        </is>
      </c>
      <c r="G144" s="15" t="inlineStr">
        <is>
          <t>GG-046	Add POS to Website</t>
        </is>
      </c>
      <c r="H144" s="15" t="inlineStr">
        <is>
          <t>Letting logged-in customers order point-of-sale material.</t>
        </is>
      </c>
      <c r="I144" s="14" t="inlineStr">
        <is>
          <t>approved</t>
        </is>
      </c>
      <c r="J144" s="9" t="n">
        <v>0.01180555555555556</v>
      </c>
      <c r="K144" s="9" t="n">
        <v>0</v>
      </c>
      <c r="L144" s="9">
        <f>J144+K144</f>
        <v/>
      </c>
      <c r="M144" s="9" t="n">
        <v>0</v>
      </c>
    </row>
    <row r="145">
      <c r="A145" s="14" t="inlineStr">
        <is>
          <t>2026-08-17</t>
        </is>
      </c>
      <c r="B145" s="14" t="inlineStr">
        <is>
          <t>Wk3  17 Aug–23 Aug</t>
        </is>
      </c>
      <c r="C145" s="14" t="inlineStr">
        <is>
          <t>Development</t>
        </is>
      </c>
      <c r="D145" s="14" t="inlineStr">
        <is>
          <t>Abbas Khan</t>
        </is>
      </c>
      <c r="E145" s="14" t="inlineStr">
        <is>
          <t>CMS Developer and UI/UX Designer</t>
        </is>
      </c>
      <c r="F145" s="14" t="inlineStr">
        <is>
          <t>Greta Grove</t>
        </is>
      </c>
      <c r="G145" s="15" t="inlineStr">
        <is>
          <t>GG-047	Add National Delivery Schedule</t>
        </is>
      </c>
      <c r="H145" s="15" t="inlineStr">
        <is>
          <t>A logged-in delivery schedule showing where and when we deliver.</t>
        </is>
      </c>
      <c r="I145" s="14" t="inlineStr">
        <is>
          <t>approved</t>
        </is>
      </c>
      <c r="J145" s="9" t="n">
        <v>0.1013888888888889</v>
      </c>
      <c r="K145" s="9" t="n">
        <v>0</v>
      </c>
      <c r="L145" s="9">
        <f>J145+K145</f>
        <v/>
      </c>
      <c r="M145" s="9" t="n">
        <v>0.03819444444444445</v>
      </c>
    </row>
    <row r="146">
      <c r="A146" s="14" t="inlineStr">
        <is>
          <t>2026-08-17</t>
        </is>
      </c>
      <c r="B146" s="14" t="inlineStr">
        <is>
          <t>Wk3  17 Aug–23 Aug</t>
        </is>
      </c>
      <c r="C146" s="14" t="inlineStr">
        <is>
          <t>Development</t>
        </is>
      </c>
      <c r="D146" s="14" t="inlineStr">
        <is>
          <t>Abbas Khan</t>
        </is>
      </c>
      <c r="E146" s="14" t="inlineStr">
        <is>
          <t>CMS Developer and UI/UX Designer</t>
        </is>
      </c>
      <c r="F146" s="14" t="inlineStr">
        <is>
          <t>Greta Grove</t>
        </is>
      </c>
      <c r="G146" s="15" t="inlineStr">
        <is>
          <t>GG-048	Rename Bands</t>
        </is>
      </c>
      <c r="H146" s="15" t="inlineStr">
        <is>
          <t>Renaming pricing bands to Starter, Growth and Enterprise.</t>
        </is>
      </c>
      <c r="I146" s="14" t="inlineStr">
        <is>
          <t>approved</t>
        </is>
      </c>
      <c r="J146" s="9" t="n">
        <v>0.01666666666666667</v>
      </c>
      <c r="K146" s="9" t="n">
        <v>0</v>
      </c>
      <c r="L146" s="9">
        <f>J146+K146</f>
        <v/>
      </c>
      <c r="M146" s="9" t="n">
        <v>0</v>
      </c>
    </row>
    <row r="147">
      <c r="A147" s="14" t="inlineStr">
        <is>
          <t>2026-08-17</t>
        </is>
      </c>
      <c r="B147" s="14" t="inlineStr">
        <is>
          <t>Wk3  17 Aug–23 Aug</t>
        </is>
      </c>
      <c r="C147" s="14" t="inlineStr">
        <is>
          <t>Development</t>
        </is>
      </c>
      <c r="D147" s="14" t="inlineStr">
        <is>
          <t>Abbas Khan</t>
        </is>
      </c>
      <c r="E147" s="14" t="inlineStr">
        <is>
          <t>CMS Developer and UI/UX Designer</t>
        </is>
      </c>
      <c r="F147" s="14" t="inlineStr">
        <is>
          <t>Greta Grove</t>
        </is>
      </c>
      <c r="G147" s="15" t="inlineStr">
        <is>
          <t>GretaGrove Delivery Routes and Schedule</t>
        </is>
      </c>
      <c r="H147" s="15" t="inlineStr">
        <is>
          <t>Documenting delivery routes and schedule.</t>
        </is>
      </c>
      <c r="I147" s="14" t="inlineStr">
        <is>
          <t>approved</t>
        </is>
      </c>
      <c r="J147" s="9" t="n">
        <v>0.03402777777777777</v>
      </c>
      <c r="K147" s="9" t="n">
        <v>0</v>
      </c>
      <c r="L147" s="9">
        <f>J147+K147</f>
        <v/>
      </c>
      <c r="M147" s="9" t="n">
        <v>0.07291666666666667</v>
      </c>
    </row>
    <row r="148">
      <c r="A148" s="14" t="inlineStr">
        <is>
          <t>2026-08-17</t>
        </is>
      </c>
      <c r="B148" s="14" t="inlineStr">
        <is>
          <t>Wk3  17 Aug–23 Aug</t>
        </is>
      </c>
      <c r="C148" s="14" t="inlineStr">
        <is>
          <t>Development</t>
        </is>
      </c>
      <c r="D148" s="14" t="inlineStr">
        <is>
          <t>Abbas Khan</t>
        </is>
      </c>
      <c r="E148" s="14" t="inlineStr">
        <is>
          <t>CMS Developer and UI/UX Designer</t>
        </is>
      </c>
      <c r="F148" s="14" t="inlineStr">
        <is>
          <t>Titan Forge</t>
        </is>
      </c>
      <c r="G148" s="15" t="inlineStr">
        <is>
          <t>Minor Changes in Website</t>
        </is>
      </c>
      <c r="H148" s="15" t="inlineStr">
        <is>
          <t>Five small client changes agreed in a meeting.</t>
        </is>
      </c>
      <c r="I148" s="14" t="inlineStr">
        <is>
          <t>approved</t>
        </is>
      </c>
      <c r="J148" s="9" t="n">
        <v>0.1638888888888889</v>
      </c>
      <c r="K148" s="9" t="n">
        <v>0</v>
      </c>
      <c r="L148" s="9">
        <f>J148+K148</f>
        <v/>
      </c>
      <c r="M148" s="9" t="n">
        <v>0</v>
      </c>
    </row>
    <row r="149">
      <c r="A149" s="14" t="inlineStr">
        <is>
          <t>2026-08-17</t>
        </is>
      </c>
      <c r="B149" s="14" t="inlineStr">
        <is>
          <t>Wk3  17 Aug–23 Aug</t>
        </is>
      </c>
      <c r="C149" s="14" t="inlineStr">
        <is>
          <t>Development</t>
        </is>
      </c>
      <c r="D149" s="14" t="inlineStr">
        <is>
          <t>Abbas Khan</t>
        </is>
      </c>
      <c r="E149" s="14" t="inlineStr">
        <is>
          <t>CMS Developer and UI/UX Designer</t>
        </is>
      </c>
      <c r="F149" s="14" t="inlineStr">
        <is>
          <t>Greta Grove</t>
        </is>
      </c>
      <c r="G149" s="15" t="inlineStr">
        <is>
          <t>Remove "Notes" Section</t>
        </is>
      </c>
      <c r="H149" s="15" t="inlineStr">
        <is>
          <t>Removing the notes section from a table, as asked.</t>
        </is>
      </c>
      <c r="I149" s="14" t="inlineStr">
        <is>
          <t>approved</t>
        </is>
      </c>
      <c r="J149" s="9" t="n">
        <v>0.006944444444444444</v>
      </c>
      <c r="K149" s="9" t="n">
        <v>0</v>
      </c>
      <c r="L149" s="9">
        <f>J149+K149</f>
        <v/>
      </c>
      <c r="M149" s="9" t="n">
        <v>0</v>
      </c>
    </row>
    <row r="150">
      <c r="A150" s="14" t="inlineStr">
        <is>
          <t>2026-08-17</t>
        </is>
      </c>
      <c r="B150" s="14" t="inlineStr">
        <is>
          <t>Wk3  17 Aug–23 Aug</t>
        </is>
      </c>
      <c r="C150" s="14" t="inlineStr">
        <is>
          <t>Development</t>
        </is>
      </c>
      <c r="D150" s="14" t="inlineStr">
        <is>
          <t>Abbas Khan</t>
        </is>
      </c>
      <c r="E150" s="14" t="inlineStr">
        <is>
          <t>CMS Developer and UI/UX Designer</t>
        </is>
      </c>
      <c r="F150" s="14" t="inlineStr">
        <is>
          <t>Titan Forge</t>
        </is>
      </c>
      <c r="G150" s="15" t="inlineStr">
        <is>
          <t>Subscriber Form Klaviyo</t>
        </is>
      </c>
      <c r="H150" s="15" t="inlineStr">
        <is>
          <t>Building a newsletter signup popup in Klaviyo.</t>
        </is>
      </c>
      <c r="I150" s="14" t="inlineStr">
        <is>
          <t>approved</t>
        </is>
      </c>
      <c r="J150" s="9" t="n">
        <v>0.03263888888888889</v>
      </c>
      <c r="K150" s="9" t="n">
        <v>0</v>
      </c>
      <c r="L150" s="9">
        <f>J150+K150</f>
        <v/>
      </c>
      <c r="M150" s="9" t="n">
        <v>0</v>
      </c>
    </row>
    <row r="151">
      <c r="A151" s="14" t="inlineStr">
        <is>
          <t>2026-08-17</t>
        </is>
      </c>
      <c r="B151" s="14" t="inlineStr">
        <is>
          <t>Wk3  17 Aug–23 Aug</t>
        </is>
      </c>
      <c r="C151" s="14" t="inlineStr">
        <is>
          <t>Development</t>
        </is>
      </c>
      <c r="D151" s="14" t="inlineStr">
        <is>
          <t>Abbas Khan</t>
        </is>
      </c>
      <c r="E151" s="14" t="inlineStr">
        <is>
          <t>CMS Developer and UI/UX Designer</t>
        </is>
      </c>
      <c r="F151" s="14" t="inlineStr">
        <is>
          <t>Bright Amber</t>
        </is>
      </c>
      <c r="G151" s="15" t="inlineStr">
        <is>
          <t>Website Amendments</t>
        </is>
      </c>
      <c r="H151" s="15" t="inlineStr">
        <is>
          <t>Making the website changes the client listed in a document.</t>
        </is>
      </c>
      <c r="I151" s="14" t="inlineStr">
        <is>
          <t>approved</t>
        </is>
      </c>
      <c r="J151" s="9" t="n">
        <v>0.2701388888888889</v>
      </c>
      <c r="K151" s="9" t="n">
        <v>0</v>
      </c>
      <c r="L151" s="9">
        <f>J151+K151</f>
        <v/>
      </c>
      <c r="M151" s="9" t="n">
        <v>0.2083333333333333</v>
      </c>
    </row>
    <row r="152">
      <c r="A152" s="14" t="inlineStr">
        <is>
          <t>2026-08-17</t>
        </is>
      </c>
      <c r="B152" s="14" t="inlineStr">
        <is>
          <t>Wk3  17 Aug–23 Aug</t>
        </is>
      </c>
      <c r="C152" s="14" t="inlineStr">
        <is>
          <t>Development</t>
        </is>
      </c>
      <c r="D152" s="14" t="inlineStr">
        <is>
          <t>Abbas Khan</t>
        </is>
      </c>
      <c r="E152" s="14" t="inlineStr">
        <is>
          <t>CMS Developer and UI/UX Designer</t>
        </is>
      </c>
      <c r="F152" s="14" t="inlineStr">
        <is>
          <t>Oasis Fertility</t>
        </is>
      </c>
      <c r="G152" s="15" t="inlineStr">
        <is>
          <t>Website Fixes</t>
        </is>
      </c>
      <c r="H152" s="15" t="inlineStr">
        <is>
          <t>Fixing website issues listed in a shared Google Doc.</t>
        </is>
      </c>
      <c r="I152" s="14" t="inlineStr">
        <is>
          <t>approved</t>
        </is>
      </c>
      <c r="J152" s="9" t="n">
        <v>0.05347222222222222</v>
      </c>
      <c r="K152" s="9" t="n">
        <v>0</v>
      </c>
      <c r="L152" s="9">
        <f>J152+K152</f>
        <v/>
      </c>
      <c r="M152" s="9" t="n">
        <v>0.08333333333333333</v>
      </c>
    </row>
    <row r="153">
      <c r="A153" s="14" t="inlineStr">
        <is>
          <t>2026-08-17</t>
        </is>
      </c>
      <c r="B153" s="14" t="inlineStr">
        <is>
          <t>Wk3  17 Aug–23 Aug</t>
        </is>
      </c>
      <c r="C153" s="14" t="inlineStr">
        <is>
          <t>Development</t>
        </is>
      </c>
      <c r="D153" s="14" t="inlineStr">
        <is>
          <t>Abbas Khan</t>
        </is>
      </c>
      <c r="E153" s="14" t="inlineStr">
        <is>
          <t>CMS Developer and UI/UX Designer</t>
        </is>
      </c>
      <c r="F153" s="14" t="inlineStr">
        <is>
          <t>Oasis Fertility</t>
        </is>
      </c>
      <c r="G153" s="15" t="inlineStr">
        <is>
          <t>Website Migration</t>
        </is>
      </c>
      <c r="H153" s="15" t="inlineStr">
        <is>
          <t>Moving the Oasis website to SiteGround hosting. [credentials redacted]</t>
        </is>
      </c>
      <c r="I153" s="14" t="inlineStr">
        <is>
          <t>approved</t>
        </is>
      </c>
      <c r="J153" s="9" t="n">
        <v>0.04027777777777778</v>
      </c>
      <c r="K153" s="9" t="n">
        <v>0</v>
      </c>
      <c r="L153" s="9">
        <f>J153+K153</f>
        <v/>
      </c>
      <c r="M153" s="9" t="n">
        <v>0.1388888888888889</v>
      </c>
    </row>
    <row r="154">
      <c r="A154" s="14" t="inlineStr">
        <is>
          <t>2026-08-17</t>
        </is>
      </c>
      <c r="B154" s="14" t="inlineStr">
        <is>
          <t>Wk3  17 Aug–23 Aug</t>
        </is>
      </c>
      <c r="C154" s="14" t="inlineStr">
        <is>
          <t>Development</t>
        </is>
      </c>
      <c r="D154" s="14" t="inlineStr">
        <is>
          <t>Ghayas</t>
        </is>
      </c>
      <c r="E154" s="14" t="inlineStr">
        <is>
          <t>Chief Technology Officer</t>
        </is>
      </c>
      <c r="F154" s="14" t="inlineStr">
        <is>
          <t>Cricket Sansar</t>
        </is>
      </c>
      <c r="G154" s="15" t="inlineStr">
        <is>
          <t>Change quote pickup and dropoff date functionality</t>
        </is>
      </c>
      <c r="H154" s="15" t="inlineStr">
        <is>
          <t>Matching the date picker to a competitor's flow.</t>
        </is>
      </c>
      <c r="I154" s="14" t="inlineStr">
        <is>
          <t>approved</t>
        </is>
      </c>
      <c r="J154" s="9" t="n">
        <v>0.009722222222222222</v>
      </c>
      <c r="K154" s="9" t="n">
        <v>0.01041666666666667</v>
      </c>
      <c r="L154" s="9">
        <f>J154+K154</f>
        <v/>
      </c>
      <c r="M154" s="9" t="n">
        <v>0</v>
      </c>
    </row>
    <row r="155">
      <c r="A155" s="14" t="inlineStr">
        <is>
          <t>2026-08-17</t>
        </is>
      </c>
      <c r="B155" s="14" t="inlineStr">
        <is>
          <t>Wk3  17 Aug–23 Aug</t>
        </is>
      </c>
      <c r="C155" s="14" t="inlineStr">
        <is>
          <t>Development</t>
        </is>
      </c>
      <c r="D155" s="14" t="inlineStr">
        <is>
          <t>Ghayas</t>
        </is>
      </c>
      <c r="E155" s="14" t="inlineStr">
        <is>
          <t>Chief Technology Officer</t>
        </is>
      </c>
      <c r="F155" s="14" t="inlineStr">
        <is>
          <t>Greta Grove</t>
        </is>
      </c>
      <c r="G155" s="15" t="inlineStr">
        <is>
          <t>Fix critical error</t>
        </is>
      </c>
      <c r="H155" s="15" t="inlineStr">
        <is>
          <t>Fixing a critical error in the WordPress admin.</t>
        </is>
      </c>
      <c r="I155" s="14" t="inlineStr">
        <is>
          <t>approved</t>
        </is>
      </c>
      <c r="J155" s="9" t="n">
        <v>0.0006944444444444445</v>
      </c>
      <c r="K155" s="9" t="n">
        <v>0</v>
      </c>
      <c r="L155" s="9">
        <f>J155+K155</f>
        <v/>
      </c>
      <c r="M155" s="9" t="n">
        <v>0</v>
      </c>
    </row>
    <row r="156">
      <c r="A156" s="14" t="inlineStr">
        <is>
          <t>2026-08-17</t>
        </is>
      </c>
      <c r="B156" s="14" t="inlineStr">
        <is>
          <t>Wk3  17 Aug–23 Aug</t>
        </is>
      </c>
      <c r="C156" s="14" t="inlineStr">
        <is>
          <t>Development</t>
        </is>
      </c>
      <c r="D156" s="14" t="inlineStr">
        <is>
          <t>Muhammad Yahya</t>
        </is>
      </c>
      <c r="E156" s="14" t="inlineStr">
        <is>
          <t>Software Engineer I</t>
        </is>
      </c>
      <c r="F156" s="14" t="inlineStr">
        <is>
          <t>Learning</t>
        </is>
      </c>
      <c r="G156" s="15" t="inlineStr">
        <is>
          <t>Learn Webflow</t>
        </is>
      </c>
      <c r="H156" s="15" t="inlineStr">
        <is>
          <t>Training time: learning Webflow because our own site will be built on it.</t>
        </is>
      </c>
      <c r="I156" s="14" t="inlineStr">
        <is>
          <t>in_progress</t>
        </is>
      </c>
      <c r="J156" s="9" t="n">
        <v>0.2583333333333334</v>
      </c>
      <c r="K156" s="9" t="n">
        <v>0.04861111111111111</v>
      </c>
      <c r="L156" s="9">
        <f>J156+K156</f>
        <v/>
      </c>
      <c r="M156" s="9" t="n">
        <v>0.125</v>
      </c>
    </row>
    <row r="157">
      <c r="A157" s="14" t="inlineStr">
        <is>
          <t>2026-08-17</t>
        </is>
      </c>
      <c r="B157" s="14" t="inlineStr">
        <is>
          <t>Wk3  17 Aug–23 Aug</t>
        </is>
      </c>
      <c r="C157" s="14" t="inlineStr">
        <is>
          <t>Development</t>
        </is>
      </c>
      <c r="D157" s="14" t="inlineStr">
        <is>
          <t>Muhammad Yahya</t>
        </is>
      </c>
      <c r="E157" s="14" t="inlineStr">
        <is>
          <t>Software Engineer I</t>
        </is>
      </c>
      <c r="F157" s="14" t="inlineStr">
        <is>
          <t>Titan Forge</t>
        </is>
      </c>
      <c r="G157" s="15" t="inlineStr">
        <is>
          <t>Minor Changes in Website</t>
        </is>
      </c>
      <c r="H157" s="15" t="inlineStr">
        <is>
          <t>Five small client changes agreed in a meeting.</t>
        </is>
      </c>
      <c r="I157" s="14" t="inlineStr">
        <is>
          <t>approved</t>
        </is>
      </c>
      <c r="J157" s="9" t="n">
        <v>0.06111111111111111</v>
      </c>
      <c r="K157" s="9" t="n">
        <v>0</v>
      </c>
      <c r="L157" s="9">
        <f>J157+K157</f>
        <v/>
      </c>
      <c r="M157" s="9" t="n">
        <v>0</v>
      </c>
    </row>
    <row r="158">
      <c r="A158" s="14" t="inlineStr">
        <is>
          <t>2026-08-17</t>
        </is>
      </c>
      <c r="B158" s="14" t="inlineStr">
        <is>
          <t>Wk3  17 Aug–23 Aug</t>
        </is>
      </c>
      <c r="C158" s="14" t="inlineStr">
        <is>
          <t>Development</t>
        </is>
      </c>
      <c r="D158" s="14" t="inlineStr">
        <is>
          <t>Sajawal Khan</t>
        </is>
      </c>
      <c r="E158" s="14" t="inlineStr">
        <is>
          <t>Web Content Specialist</t>
        </is>
      </c>
      <c r="F158" s="14" t="inlineStr">
        <is>
          <t>Builders Trade Depot</t>
        </is>
      </c>
      <c r="G158" s="15" t="inlineStr">
        <is>
          <t>Add Products and Cllections</t>
        </is>
      </c>
      <c r="H158" s="15" t="inlineStr">
        <is>
          <t>Uploading products and creating a sub-collection.</t>
        </is>
      </c>
      <c r="I158" s="14" t="inlineStr">
        <is>
          <t>approved</t>
        </is>
      </c>
      <c r="J158" s="9" t="n">
        <v>0.075</v>
      </c>
      <c r="K158" s="9" t="n">
        <v>0</v>
      </c>
      <c r="L158" s="9">
        <f>J158+K158</f>
        <v/>
      </c>
      <c r="M158" s="9" t="n">
        <v>0</v>
      </c>
    </row>
    <row r="159">
      <c r="A159" s="14" t="inlineStr">
        <is>
          <t>2026-08-17</t>
        </is>
      </c>
      <c r="B159" s="14" t="inlineStr">
        <is>
          <t>Wk3  17 Aug–23 Aug</t>
        </is>
      </c>
      <c r="C159" s="14" t="inlineStr">
        <is>
          <t>Development</t>
        </is>
      </c>
      <c r="D159" s="14" t="inlineStr">
        <is>
          <t>Sajawal Khan</t>
        </is>
      </c>
      <c r="E159" s="14" t="inlineStr">
        <is>
          <t>Web Content Specialist</t>
        </is>
      </c>
      <c r="F159" s="14" t="inlineStr">
        <is>
          <t>Builders Trade Depot</t>
        </is>
      </c>
      <c r="G159" s="15" t="inlineStr">
        <is>
          <t>Upload products</t>
        </is>
      </c>
      <c r="H159" s="15" t="inlineStr">
        <is>
          <t>Uploading the product list the client sent.</t>
        </is>
      </c>
      <c r="I159" s="14" t="inlineStr">
        <is>
          <t>blocked</t>
        </is>
      </c>
      <c r="J159" s="9" t="n">
        <v>0</v>
      </c>
      <c r="K159" s="9" t="n">
        <v>0</v>
      </c>
      <c r="L159" s="9">
        <f>J159+K159</f>
        <v/>
      </c>
      <c r="M159" s="9" t="n">
        <v>0.3333333333333333</v>
      </c>
    </row>
    <row r="160">
      <c r="A160" s="14" t="inlineStr">
        <is>
          <t>2026-08-17</t>
        </is>
      </c>
      <c r="B160" s="14" t="inlineStr">
        <is>
          <t>Wk3  17 Aug–23 Aug</t>
        </is>
      </c>
      <c r="C160" s="14" t="inlineStr">
        <is>
          <t>Development</t>
        </is>
      </c>
      <c r="D160" s="14" t="inlineStr">
        <is>
          <t>Sajawal Khan</t>
        </is>
      </c>
      <c r="E160" s="14" t="inlineStr">
        <is>
          <t>Web Content Specialist</t>
        </is>
      </c>
      <c r="F160" s="14" t="inlineStr">
        <is>
          <t>Zedan</t>
        </is>
      </c>
      <c r="G160" s="15" t="inlineStr">
        <is>
          <t>Zedan Product Upload</t>
        </is>
      </c>
      <c r="H160" s="15" t="inlineStr">
        <is>
          <t>Uploading shoot 5 and 6 product images.</t>
        </is>
      </c>
      <c r="I160" s="14" t="inlineStr">
        <is>
          <t>blocked</t>
        </is>
      </c>
      <c r="J160" s="9" t="n">
        <v>0.1284722222222222</v>
      </c>
      <c r="K160" s="9" t="n">
        <v>0.04166666666666666</v>
      </c>
      <c r="L160" s="9">
        <f>J160+K160</f>
        <v/>
      </c>
      <c r="M160" s="9" t="n">
        <v>0</v>
      </c>
    </row>
    <row r="161">
      <c r="A161" s="14" t="inlineStr">
        <is>
          <t>2026-08-17</t>
        </is>
      </c>
      <c r="B161" s="14" t="inlineStr">
        <is>
          <t>Wk3  17 Aug–23 Aug</t>
        </is>
      </c>
      <c r="C161" s="14" t="inlineStr">
        <is>
          <t>Development</t>
        </is>
      </c>
      <c r="D161" s="14" t="inlineStr">
        <is>
          <t>Zain Malik</t>
        </is>
      </c>
      <c r="E161" s="14" t="inlineStr">
        <is>
          <t>Software Engineer II</t>
        </is>
      </c>
      <c r="F161" s="14" t="inlineStr">
        <is>
          <t>Cricket Sansar</t>
        </is>
      </c>
      <c r="G161" s="15" t="inlineStr">
        <is>
          <t>Categories Addition</t>
        </is>
      </c>
      <c r="H161" s="15" t="inlineStr">
        <is>
          <t>Adding new categories, per the subtasks.</t>
        </is>
      </c>
      <c r="I161" s="14" t="inlineStr">
        <is>
          <t>approved</t>
        </is>
      </c>
      <c r="J161" s="9" t="n">
        <v>0.3236111111111111</v>
      </c>
      <c r="K161" s="9" t="n">
        <v>0.04513888888888889</v>
      </c>
      <c r="L161" s="9">
        <f>J161+K161</f>
        <v/>
      </c>
      <c r="M161" s="9" t="n">
        <v>0.3333333333333333</v>
      </c>
    </row>
    <row r="162">
      <c r="A162" s="14" t="inlineStr">
        <is>
          <t>2026-08-17</t>
        </is>
      </c>
      <c r="B162" s="14" t="inlineStr">
        <is>
          <t>Wk3  17 Aug–23 Aug</t>
        </is>
      </c>
      <c r="C162" s="14" t="inlineStr">
        <is>
          <t>Development</t>
        </is>
      </c>
      <c r="D162" s="14" t="inlineStr">
        <is>
          <t>Zain Malik</t>
        </is>
      </c>
      <c r="E162" s="14" t="inlineStr">
        <is>
          <t>Software Engineer II</t>
        </is>
      </c>
      <c r="F162" s="14" t="inlineStr">
        <is>
          <t>Cricket Sansar</t>
        </is>
      </c>
      <c r="G162" s="15" t="inlineStr">
        <is>
          <t>Set Up Facebook SDK Cricket Sansar</t>
        </is>
      </c>
      <c r="H162" s="15" t="inlineStr">
        <is>
          <t>Adding the Facebook SDK to the Android and iOS apps.</t>
        </is>
      </c>
      <c r="I162" s="14" t="inlineStr">
        <is>
          <t>approved</t>
        </is>
      </c>
      <c r="J162" s="9" t="n">
        <v>0</v>
      </c>
      <c r="K162" s="9" t="n">
        <v>0</v>
      </c>
      <c r="L162" s="9">
        <f>J162+K162</f>
        <v/>
      </c>
      <c r="M162" s="9" t="n">
        <v>0.1666666666666667</v>
      </c>
    </row>
    <row r="163">
      <c r="A163" s="14" t="inlineStr">
        <is>
          <t>2026-08-17</t>
        </is>
      </c>
      <c r="B163" s="14" t="inlineStr">
        <is>
          <t>Wk3  17 Aug–23 Aug</t>
        </is>
      </c>
      <c r="C163" s="14" t="inlineStr">
        <is>
          <t>Development</t>
        </is>
      </c>
      <c r="D163" s="14" t="inlineStr">
        <is>
          <t>Zain Malik</t>
        </is>
      </c>
      <c r="E163" s="14" t="inlineStr">
        <is>
          <t>Software Engineer II</t>
        </is>
      </c>
      <c r="F163" s="14" t="inlineStr">
        <is>
          <t>Cricket Sansar</t>
        </is>
      </c>
      <c r="G163" s="15" t="inlineStr">
        <is>
          <t>Urgent Tasks</t>
        </is>
      </c>
      <c r="H163" s="15" t="inlineStr">
        <is>
          <t>A group of urgent items held as subtasks.</t>
        </is>
      </c>
      <c r="I163" s="14" t="inlineStr">
        <is>
          <t>approved</t>
        </is>
      </c>
      <c r="J163" s="9" t="n">
        <v>0.0006944444444444445</v>
      </c>
      <c r="K163" s="9" t="n">
        <v>0</v>
      </c>
      <c r="L163" s="9">
        <f>J163+K163</f>
        <v/>
      </c>
      <c r="M163" s="9" t="n">
        <v>0</v>
      </c>
    </row>
    <row r="164">
      <c r="A164" s="14" t="inlineStr">
        <is>
          <t>2026-08-17</t>
        </is>
      </c>
      <c r="B164" s="14" t="inlineStr">
        <is>
          <t>Wk3  17 Aug–23 Aug</t>
        </is>
      </c>
      <c r="C164" s="14" t="inlineStr">
        <is>
          <t>Development</t>
        </is>
      </c>
      <c r="D164" s="14" t="inlineStr">
        <is>
          <t>khizer hayat</t>
        </is>
      </c>
      <c r="E164" s="14" t="inlineStr">
        <is>
          <t>CMS Developer</t>
        </is>
      </c>
      <c r="F164" s="14" t="inlineStr">
        <is>
          <t>Zedan</t>
        </is>
      </c>
      <c r="G164" s="15" t="inlineStr">
        <is>
          <t>Azaadi Sale Website Fixes</t>
        </is>
      </c>
      <c r="H164" s="15" t="inlineStr">
        <is>
          <t>Independence sale fixes: homepage cover and sale labels.</t>
        </is>
      </c>
      <c r="I164" s="14" t="inlineStr">
        <is>
          <t>approved</t>
        </is>
      </c>
      <c r="J164" s="9" t="n">
        <v>0.08402777777777778</v>
      </c>
      <c r="K164" s="9" t="n">
        <v>0</v>
      </c>
      <c r="L164" s="9">
        <f>J164+K164</f>
        <v/>
      </c>
      <c r="M164" s="9" t="n">
        <v>0</v>
      </c>
    </row>
    <row r="165">
      <c r="A165" s="14" t="inlineStr">
        <is>
          <t>2026-08-17</t>
        </is>
      </c>
      <c r="B165" s="14" t="inlineStr">
        <is>
          <t>Wk3  17 Aug–23 Aug</t>
        </is>
      </c>
      <c r="C165" s="14" t="inlineStr">
        <is>
          <t>Development</t>
        </is>
      </c>
      <c r="D165" s="14" t="inlineStr">
        <is>
          <t>khizer hayat</t>
        </is>
      </c>
      <c r="E165" s="14" t="inlineStr">
        <is>
          <t>CMS Developer</t>
        </is>
      </c>
      <c r="F165" s="14" t="inlineStr">
        <is>
          <t>Neowall</t>
        </is>
      </c>
      <c r="G165" s="15" t="inlineStr">
        <is>
          <t>Calulator Fix</t>
        </is>
      </c>
      <c r="H165" s="15" t="inlineStr">
        <is>
          <t>Fixing the wrong result from the product-page calculator.</t>
        </is>
      </c>
      <c r="I165" s="14" t="inlineStr">
        <is>
          <t>approved</t>
        </is>
      </c>
      <c r="J165" s="9" t="n">
        <v>0.1194444444444445</v>
      </c>
      <c r="K165" s="9" t="n">
        <v>0</v>
      </c>
      <c r="L165" s="9">
        <f>J165+K165</f>
        <v/>
      </c>
      <c r="M165" s="9" t="n">
        <v>0</v>
      </c>
    </row>
    <row r="166">
      <c r="A166" s="14" t="inlineStr">
        <is>
          <t>2026-08-17</t>
        </is>
      </c>
      <c r="B166" s="14" t="inlineStr">
        <is>
          <t>Wk3  17 Aug–23 Aug</t>
        </is>
      </c>
      <c r="C166" s="14" t="inlineStr">
        <is>
          <t>Development</t>
        </is>
      </c>
      <c r="D166" s="14" t="inlineStr">
        <is>
          <t>khizer hayat</t>
        </is>
      </c>
      <c r="E166" s="14" t="inlineStr">
        <is>
          <t>CMS Developer</t>
        </is>
      </c>
      <c r="F166" s="14" t="inlineStr">
        <is>
          <t>Learning</t>
        </is>
      </c>
      <c r="G166" s="15" t="inlineStr">
        <is>
          <t>Learn Webflow</t>
        </is>
      </c>
      <c r="H166" s="15" t="inlineStr">
        <is>
          <t>Training time: learning Webflow because our own site will be built on it.</t>
        </is>
      </c>
      <c r="I166" s="14" t="inlineStr">
        <is>
          <t>in_progress</t>
        </is>
      </c>
      <c r="J166" s="9" t="n">
        <v>0.1423611111111111</v>
      </c>
      <c r="K166" s="9" t="n">
        <v>0</v>
      </c>
      <c r="L166" s="9">
        <f>J166+K166</f>
        <v/>
      </c>
      <c r="M166" s="9" t="n">
        <v>0</v>
      </c>
    </row>
    <row r="167">
      <c r="A167" s="14" t="inlineStr">
        <is>
          <t>2026-08-17</t>
        </is>
      </c>
      <c r="B167" s="14" t="inlineStr">
        <is>
          <t>Wk3  17 Aug–23 Aug</t>
        </is>
      </c>
      <c r="C167" s="14" t="inlineStr">
        <is>
          <t>Development</t>
        </is>
      </c>
      <c r="D167" s="14" t="inlineStr">
        <is>
          <t>khizer hayat</t>
        </is>
      </c>
      <c r="E167" s="14" t="inlineStr">
        <is>
          <t>CMS Developer</t>
        </is>
      </c>
      <c r="F167" s="14" t="inlineStr">
        <is>
          <t>Builders Trade Depot</t>
        </is>
      </c>
      <c r="G167" s="15" t="inlineStr">
        <is>
          <t>Mega Menu Development</t>
        </is>
      </c>
      <c r="H167" s="15" t="inlineStr">
        <is>
          <t>Building the mega menu from the approved design.</t>
        </is>
      </c>
      <c r="I167" s="14" t="inlineStr">
        <is>
          <t>approved</t>
        </is>
      </c>
      <c r="J167" s="9" t="n">
        <v>0.09652777777777778</v>
      </c>
      <c r="K167" s="9" t="n">
        <v>0</v>
      </c>
      <c r="L167" s="9">
        <f>J167+K167</f>
        <v/>
      </c>
      <c r="M167" s="9" t="n">
        <v>0</v>
      </c>
    </row>
    <row r="168">
      <c r="A168" s="14" t="inlineStr">
        <is>
          <t>2026-08-17</t>
        </is>
      </c>
      <c r="B168" s="14" t="inlineStr">
        <is>
          <t>Wk3  17 Aug–23 Aug</t>
        </is>
      </c>
      <c r="C168" s="14" t="inlineStr">
        <is>
          <t>Development</t>
        </is>
      </c>
      <c r="D168" s="14" t="inlineStr">
        <is>
          <t>khizer hayat</t>
        </is>
      </c>
      <c r="E168" s="14" t="inlineStr">
        <is>
          <t>CMS Developer</t>
        </is>
      </c>
      <c r="F168" s="14" t="inlineStr">
        <is>
          <t>Neowall</t>
        </is>
      </c>
      <c r="G168" s="15" t="inlineStr">
        <is>
          <t>Neowall Website Updates</t>
        </is>
      </c>
      <c r="H168" s="15" t="inlineStr">
        <is>
          <t>Website changes from the client's attached document.</t>
        </is>
      </c>
      <c r="I168" s="14" t="inlineStr">
        <is>
          <t>approved</t>
        </is>
      </c>
      <c r="J168" s="9" t="n">
        <v>0.2972222222222222</v>
      </c>
      <c r="K168" s="9" t="n">
        <v>0</v>
      </c>
      <c r="L168" s="9">
        <f>J168+K168</f>
        <v/>
      </c>
      <c r="M168" s="9" t="n">
        <v>0</v>
      </c>
    </row>
    <row r="169">
      <c r="A169" s="14" t="inlineStr">
        <is>
          <t>2026-08-24</t>
        </is>
      </c>
      <c r="B169" s="14" t="inlineStr">
        <is>
          <t>Wk4  24 Aug–30 Aug</t>
        </is>
      </c>
      <c r="C169" s="14" t="inlineStr">
        <is>
          <t>Development</t>
        </is>
      </c>
      <c r="D169" s="14" t="inlineStr">
        <is>
          <t>Abbas Khan</t>
        </is>
      </c>
      <c r="E169" s="14" t="inlineStr">
        <is>
          <t>CMS Developer and UI/UX Designer</t>
        </is>
      </c>
      <c r="F169" s="14" t="inlineStr">
        <is>
          <t>Titan Forge</t>
        </is>
      </c>
      <c r="G169" s="15" t="inlineStr">
        <is>
          <t>Add Animations and Make some Fixes</t>
        </is>
      </c>
      <c r="H169" s="15" t="inlineStr">
        <is>
          <t>Adding site animations and fixing the product page.</t>
        </is>
      </c>
      <c r="I169" s="14" t="inlineStr">
        <is>
          <t>approved</t>
        </is>
      </c>
      <c r="J169" s="9" t="n">
        <v>0.1041666666666667</v>
      </c>
      <c r="K169" s="9" t="n">
        <v>0</v>
      </c>
      <c r="L169" s="9">
        <f>J169+K169</f>
        <v/>
      </c>
      <c r="M169" s="9" t="n">
        <v>0.1666666666666667</v>
      </c>
    </row>
    <row r="170">
      <c r="A170" s="14" t="inlineStr">
        <is>
          <t>2026-08-24</t>
        </is>
      </c>
      <c r="B170" s="14" t="inlineStr">
        <is>
          <t>Wk4  24 Aug–30 Aug</t>
        </is>
      </c>
      <c r="C170" s="14" t="inlineStr">
        <is>
          <t>Development</t>
        </is>
      </c>
      <c r="D170" s="14" t="inlineStr">
        <is>
          <t>Abbas Khan</t>
        </is>
      </c>
      <c r="E170" s="14" t="inlineStr">
        <is>
          <t>CMS Developer and UI/UX Designer</t>
        </is>
      </c>
      <c r="F170" s="14" t="inlineStr">
        <is>
          <t>Greta Grove</t>
        </is>
      </c>
      <c r="G170" s="15" t="inlineStr">
        <is>
          <t>GG-046	Add POS to Website</t>
        </is>
      </c>
      <c r="H170" s="15" t="inlineStr">
        <is>
          <t>Letting logged-in customers order point-of-sale material.</t>
        </is>
      </c>
      <c r="I170" s="14" t="inlineStr">
        <is>
          <t>approved</t>
        </is>
      </c>
      <c r="J170" s="9" t="n">
        <v>0.006944444444444444</v>
      </c>
      <c r="K170" s="9" t="n">
        <v>0</v>
      </c>
      <c r="L170" s="9">
        <f>J170+K170</f>
        <v/>
      </c>
      <c r="M170" s="9" t="n">
        <v>0</v>
      </c>
    </row>
    <row r="171">
      <c r="A171" s="14" t="inlineStr">
        <is>
          <t>2026-08-24</t>
        </is>
      </c>
      <c r="B171" s="14" t="inlineStr">
        <is>
          <t>Wk4  24 Aug–30 Aug</t>
        </is>
      </c>
      <c r="C171" s="14" t="inlineStr">
        <is>
          <t>Development</t>
        </is>
      </c>
      <c r="D171" s="14" t="inlineStr">
        <is>
          <t>Abbas Khan</t>
        </is>
      </c>
      <c r="E171" s="14" t="inlineStr">
        <is>
          <t>CMS Developer and UI/UX Designer</t>
        </is>
      </c>
      <c r="F171" s="14" t="inlineStr">
        <is>
          <t>Greta Grove</t>
        </is>
      </c>
      <c r="G171" s="15" t="inlineStr">
        <is>
          <t>GretaGrove category content</t>
        </is>
      </c>
      <c r="H171" s="15" t="inlineStr">
        <is>
          <t>Reviewing categories and products and reporting missing data.</t>
        </is>
      </c>
      <c r="I171" s="14" t="inlineStr">
        <is>
          <t>approved</t>
        </is>
      </c>
      <c r="J171" s="9" t="n">
        <v>0.01458333333333333</v>
      </c>
      <c r="K171" s="9" t="n">
        <v>0</v>
      </c>
      <c r="L171" s="9">
        <f>J171+K171</f>
        <v/>
      </c>
      <c r="M171" s="9" t="n">
        <v>0</v>
      </c>
    </row>
    <row r="172">
      <c r="A172" s="14" t="inlineStr">
        <is>
          <t>2026-08-24</t>
        </is>
      </c>
      <c r="B172" s="14" t="inlineStr">
        <is>
          <t>Wk4  24 Aug–30 Aug</t>
        </is>
      </c>
      <c r="C172" s="14" t="inlineStr">
        <is>
          <t>Development</t>
        </is>
      </c>
      <c r="D172" s="14" t="inlineStr">
        <is>
          <t>Abbas Khan</t>
        </is>
      </c>
      <c r="E172" s="14" t="inlineStr">
        <is>
          <t>CMS Developer and UI/UX Designer</t>
        </is>
      </c>
      <c r="F172" s="14" t="inlineStr">
        <is>
          <t>Learning</t>
        </is>
      </c>
      <c r="G172" s="15" t="inlineStr">
        <is>
          <t>Learn Webflow</t>
        </is>
      </c>
      <c r="H172" s="15" t="inlineStr">
        <is>
          <t>Training time: learning Webflow because our own site will be built on it.</t>
        </is>
      </c>
      <c r="I172" s="14" t="inlineStr">
        <is>
          <t>in_progress</t>
        </is>
      </c>
      <c r="J172" s="9" t="n">
        <v>0.07083333333333333</v>
      </c>
      <c r="K172" s="9" t="n">
        <v>0</v>
      </c>
      <c r="L172" s="9">
        <f>J172+K172</f>
        <v/>
      </c>
      <c r="M172" s="9" t="n">
        <v>0</v>
      </c>
    </row>
    <row r="173">
      <c r="A173" s="14" t="inlineStr">
        <is>
          <t>2026-08-24</t>
        </is>
      </c>
      <c r="B173" s="14" t="inlineStr">
        <is>
          <t>Wk4  24 Aug–30 Aug</t>
        </is>
      </c>
      <c r="C173" s="14" t="inlineStr">
        <is>
          <t>Development</t>
        </is>
      </c>
      <c r="D173" s="14" t="inlineStr">
        <is>
          <t>Abbas Khan</t>
        </is>
      </c>
      <c r="E173" s="14" t="inlineStr">
        <is>
          <t>CMS Developer and UI/UX Designer</t>
        </is>
      </c>
      <c r="F173" s="14" t="inlineStr">
        <is>
          <t>Greta Grove</t>
        </is>
      </c>
      <c r="G173" s="15" t="inlineStr">
        <is>
          <t>Meeting with Client</t>
        </is>
      </c>
      <c r="H173" s="15" t="inlineStr">
        <is>
          <t>Client meeting time.</t>
        </is>
      </c>
      <c r="I173" s="14" t="inlineStr">
        <is>
          <t>approved</t>
        </is>
      </c>
      <c r="J173" s="9" t="n">
        <v>0.02222222222222222</v>
      </c>
      <c r="K173" s="9" t="n">
        <v>0</v>
      </c>
      <c r="L173" s="9">
        <f>J173+K173</f>
        <v/>
      </c>
      <c r="M173" s="9" t="n">
        <v>0.02777777777777778</v>
      </c>
    </row>
    <row r="174">
      <c r="A174" s="14" t="inlineStr">
        <is>
          <t>2026-08-24</t>
        </is>
      </c>
      <c r="B174" s="14" t="inlineStr">
        <is>
          <t>Wk4  24 Aug–30 Aug</t>
        </is>
      </c>
      <c r="C174" s="14" t="inlineStr">
        <is>
          <t>Development</t>
        </is>
      </c>
      <c r="D174" s="14" t="inlineStr">
        <is>
          <t>Abbas Khan</t>
        </is>
      </c>
      <c r="E174" s="14" t="inlineStr">
        <is>
          <t>CMS Developer and UI/UX Designer</t>
        </is>
      </c>
      <c r="F174" s="14" t="inlineStr">
        <is>
          <t>Greta Grove</t>
        </is>
      </c>
      <c r="G174" s="15" t="inlineStr">
        <is>
          <t>SQM Calculator (GG-038)</t>
        </is>
      </c>
      <c r="H174" s="15" t="inlineStr">
        <is>
          <t>A square-metre calculator so buyers know how much to order.</t>
        </is>
      </c>
      <c r="I174" s="14" t="inlineStr">
        <is>
          <t>approved</t>
        </is>
      </c>
      <c r="J174" s="9" t="n">
        <v>0.1618055555555556</v>
      </c>
      <c r="K174" s="9" t="n">
        <v>0</v>
      </c>
      <c r="L174" s="9">
        <f>J174+K174</f>
        <v/>
      </c>
      <c r="M174" s="9" t="n">
        <v>0.1666666666666667</v>
      </c>
    </row>
    <row r="175">
      <c r="A175" s="14" t="inlineStr">
        <is>
          <t>2026-08-24</t>
        </is>
      </c>
      <c r="B175" s="14" t="inlineStr">
        <is>
          <t>Wk4  24 Aug–30 Aug</t>
        </is>
      </c>
      <c r="C175" s="14" t="inlineStr">
        <is>
          <t>Development</t>
        </is>
      </c>
      <c r="D175" s="14" t="inlineStr">
        <is>
          <t>Abbas Khan</t>
        </is>
      </c>
      <c r="E175" s="14" t="inlineStr">
        <is>
          <t>CMS Developer and UI/UX Designer</t>
        </is>
      </c>
      <c r="F175" s="14" t="inlineStr">
        <is>
          <t>Bright Amber</t>
        </is>
      </c>
      <c r="G175" s="15" t="inlineStr">
        <is>
          <t>Website Amendments</t>
        </is>
      </c>
      <c r="H175" s="15" t="inlineStr">
        <is>
          <t>Making the website changes the client listed in a document.</t>
        </is>
      </c>
      <c r="I175" s="14" t="inlineStr">
        <is>
          <t>approved</t>
        </is>
      </c>
      <c r="J175" s="9" t="n">
        <v>0.2986111111111111</v>
      </c>
      <c r="K175" s="9" t="n">
        <v>0</v>
      </c>
      <c r="L175" s="9">
        <f>J175+K175</f>
        <v/>
      </c>
      <c r="M175" s="9" t="n">
        <v>0.1666666666666667</v>
      </c>
    </row>
    <row r="176">
      <c r="A176" s="14" t="inlineStr">
        <is>
          <t>2026-08-24</t>
        </is>
      </c>
      <c r="B176" s="14" t="inlineStr">
        <is>
          <t>Wk4  24 Aug–30 Aug</t>
        </is>
      </c>
      <c r="C176" s="14" t="inlineStr">
        <is>
          <t>Development</t>
        </is>
      </c>
      <c r="D176" s="14" t="inlineStr">
        <is>
          <t>Abbas Khan</t>
        </is>
      </c>
      <c r="E176" s="14" t="inlineStr">
        <is>
          <t>CMS Developer and UI/UX Designer</t>
        </is>
      </c>
      <c r="F176" s="14" t="inlineStr">
        <is>
          <t>Oasis Fertility</t>
        </is>
      </c>
      <c r="G176" s="15" t="inlineStr">
        <is>
          <t>Website Fixes</t>
        </is>
      </c>
      <c r="H176" s="15" t="inlineStr">
        <is>
          <t>Fixing website issues listed in a shared Google Doc.</t>
        </is>
      </c>
      <c r="I176" s="14" t="inlineStr">
        <is>
          <t>review</t>
        </is>
      </c>
      <c r="J176" s="9" t="n">
        <v>0.2201388888888889</v>
      </c>
      <c r="K176" s="9" t="n">
        <v>0</v>
      </c>
      <c r="L176" s="9">
        <f>J176+K176</f>
        <v/>
      </c>
      <c r="M176" s="9" t="n">
        <v>0.25</v>
      </c>
    </row>
    <row r="177">
      <c r="A177" s="14" t="inlineStr">
        <is>
          <t>2026-08-24</t>
        </is>
      </c>
      <c r="B177" s="14" t="inlineStr">
        <is>
          <t>Wk4  24 Aug–30 Aug</t>
        </is>
      </c>
      <c r="C177" s="14" t="inlineStr">
        <is>
          <t>Development</t>
        </is>
      </c>
      <c r="D177" s="14" t="inlineStr">
        <is>
          <t>Abbas Khan</t>
        </is>
      </c>
      <c r="E177" s="14" t="inlineStr">
        <is>
          <t>CMS Developer and UI/UX Designer</t>
        </is>
      </c>
      <c r="F177" s="14" t="inlineStr">
        <is>
          <t>Titan Forge</t>
        </is>
      </c>
      <c r="G177" s="15" t="inlineStr">
        <is>
          <t>Website New Amendments</t>
        </is>
      </c>
      <c r="H177" s="15" t="inlineStr">
        <is>
          <t>Website changes from the client's document.</t>
        </is>
      </c>
      <c r="I177" s="14" t="inlineStr">
        <is>
          <t>approved</t>
        </is>
      </c>
      <c r="J177" s="9" t="n">
        <v>0.07013888888888889</v>
      </c>
      <c r="K177" s="9" t="n">
        <v>0</v>
      </c>
      <c r="L177" s="9">
        <f>J177+K177</f>
        <v/>
      </c>
      <c r="M177" s="9" t="n">
        <v>0.08333333333333333</v>
      </c>
    </row>
    <row r="178">
      <c r="A178" s="14" t="inlineStr">
        <is>
          <t>2026-08-24</t>
        </is>
      </c>
      <c r="B178" s="14" t="inlineStr">
        <is>
          <t>Wk4  24 Aug–30 Aug</t>
        </is>
      </c>
      <c r="C178" s="14" t="inlineStr">
        <is>
          <t>Development</t>
        </is>
      </c>
      <c r="D178" s="14" t="inlineStr">
        <is>
          <t>Muhammad Yahya</t>
        </is>
      </c>
      <c r="E178" s="14" t="inlineStr">
        <is>
          <t>Software Engineer I</t>
        </is>
      </c>
      <c r="F178" s="14" t="inlineStr">
        <is>
          <t>Greta Grove</t>
        </is>
      </c>
      <c r="G178" s="15" t="inlineStr">
        <is>
          <t>GretaGrove category content</t>
        </is>
      </c>
      <c r="H178" s="15" t="inlineStr">
        <is>
          <t>Reviewing categories and products and reporting missing data.</t>
        </is>
      </c>
      <c r="I178" s="14" t="inlineStr">
        <is>
          <t>approved</t>
        </is>
      </c>
      <c r="J178" s="9" t="n">
        <v>0.2944444444444445</v>
      </c>
      <c r="K178" s="9" t="n">
        <v>0</v>
      </c>
      <c r="L178" s="9">
        <f>J178+K178</f>
        <v/>
      </c>
      <c r="M178" s="9" t="n">
        <v>0</v>
      </c>
    </row>
    <row r="179">
      <c r="A179" s="14" t="inlineStr">
        <is>
          <t>2026-08-24</t>
        </is>
      </c>
      <c r="B179" s="14" t="inlineStr">
        <is>
          <t>Wk4  24 Aug–30 Aug</t>
        </is>
      </c>
      <c r="C179" s="14" t="inlineStr">
        <is>
          <t>Development</t>
        </is>
      </c>
      <c r="D179" s="14" t="inlineStr">
        <is>
          <t>Muhammad Yahya</t>
        </is>
      </c>
      <c r="E179" s="14" t="inlineStr">
        <is>
          <t>Software Engineer I</t>
        </is>
      </c>
      <c r="F179" s="14" t="inlineStr">
        <is>
          <t>Learning</t>
        </is>
      </c>
      <c r="G179" s="15" t="inlineStr">
        <is>
          <t>Learn Webflow</t>
        </is>
      </c>
      <c r="H179" s="15" t="inlineStr">
        <is>
          <t>Training time: learning Webflow because our own site will be built on it.</t>
        </is>
      </c>
      <c r="I179" s="14" t="inlineStr">
        <is>
          <t>in_progress</t>
        </is>
      </c>
      <c r="J179" s="9" t="n">
        <v>0.3333333333333333</v>
      </c>
      <c r="K179" s="9" t="n">
        <v>0</v>
      </c>
      <c r="L179" s="9">
        <f>J179+K179</f>
        <v/>
      </c>
      <c r="M179" s="9" t="n">
        <v>0.6666666666666666</v>
      </c>
    </row>
    <row r="180">
      <c r="A180" s="14" t="inlineStr">
        <is>
          <t>2026-08-24</t>
        </is>
      </c>
      <c r="B180" s="14" t="inlineStr">
        <is>
          <t>Wk4  24 Aug–30 Aug</t>
        </is>
      </c>
      <c r="C180" s="14" t="inlineStr">
        <is>
          <t>Development</t>
        </is>
      </c>
      <c r="D180" s="14" t="inlineStr">
        <is>
          <t>Muhammad Yahya</t>
        </is>
      </c>
      <c r="E180" s="14" t="inlineStr">
        <is>
          <t>Software Engineer I</t>
        </is>
      </c>
      <c r="F180" s="14" t="inlineStr">
        <is>
          <t>Builders Trade Depot</t>
        </is>
      </c>
      <c r="G180" s="15" t="inlineStr">
        <is>
          <t>New product Upload and Fixes</t>
        </is>
      </c>
      <c r="H180" s="15" t="inlineStr">
        <is>
          <t>Uploading products and fixing issues raised in a client meeting.</t>
        </is>
      </c>
      <c r="I180" s="14" t="inlineStr">
        <is>
          <t>approved</t>
        </is>
      </c>
      <c r="J180" s="9" t="n">
        <v>0.04861111111111111</v>
      </c>
      <c r="K180" s="9" t="n">
        <v>0.04861111111111111</v>
      </c>
      <c r="L180" s="9">
        <f>J180+K180</f>
        <v/>
      </c>
      <c r="M180" s="9" t="n">
        <v>0</v>
      </c>
    </row>
    <row r="181">
      <c r="A181" s="14" t="inlineStr">
        <is>
          <t>2026-08-24</t>
        </is>
      </c>
      <c r="B181" s="14" t="inlineStr">
        <is>
          <t>Wk4  24 Aug–30 Aug</t>
        </is>
      </c>
      <c r="C181" s="14" t="inlineStr">
        <is>
          <t>Development</t>
        </is>
      </c>
      <c r="D181" s="14" t="inlineStr">
        <is>
          <t>Sajawal Khan</t>
        </is>
      </c>
      <c r="E181" s="14" t="inlineStr">
        <is>
          <t>Web Content Specialist</t>
        </is>
      </c>
      <c r="F181" s="14" t="inlineStr">
        <is>
          <t>Zedan</t>
        </is>
      </c>
      <c r="G181" s="15" t="inlineStr">
        <is>
          <t>Clearance Sale on Website</t>
        </is>
      </c>
      <c r="H181" s="15" t="inlineStr">
        <is>
          <t>Creating the clearance collection with 35% off applied.</t>
        </is>
      </c>
      <c r="I181" s="14" t="inlineStr">
        <is>
          <t>approved</t>
        </is>
      </c>
      <c r="J181" s="9" t="n">
        <v>0.02430555555555556</v>
      </c>
      <c r="K181" s="9" t="n">
        <v>0</v>
      </c>
      <c r="L181" s="9">
        <f>J181+K181</f>
        <v/>
      </c>
      <c r="M181" s="9" t="n">
        <v>0.04166666666666666</v>
      </c>
    </row>
    <row r="182">
      <c r="A182" s="14" t="inlineStr">
        <is>
          <t>2026-08-24</t>
        </is>
      </c>
      <c r="B182" s="14" t="inlineStr">
        <is>
          <t>Wk4  24 Aug–30 Aug</t>
        </is>
      </c>
      <c r="C182" s="14" t="inlineStr">
        <is>
          <t>Development</t>
        </is>
      </c>
      <c r="D182" s="14" t="inlineStr">
        <is>
          <t>Sajawal Khan</t>
        </is>
      </c>
      <c r="E182" s="14" t="inlineStr">
        <is>
          <t>Web Content Specialist</t>
        </is>
      </c>
      <c r="F182" s="14" t="inlineStr">
        <is>
          <t>Builders Trade Depot</t>
        </is>
      </c>
      <c r="G182" s="15" t="inlineStr">
        <is>
          <t>New Products Upload from a website</t>
        </is>
      </c>
      <c r="H182" s="15" t="inlineStr">
        <is>
          <t>Copying products from a supplier site onto our client's store.</t>
        </is>
      </c>
      <c r="I182" s="14" t="inlineStr">
        <is>
          <t>approved</t>
        </is>
      </c>
      <c r="J182" s="9" t="n">
        <v>0.5652777777777778</v>
      </c>
      <c r="K182" s="9" t="n">
        <v>0</v>
      </c>
      <c r="L182" s="9">
        <f>J182+K182</f>
        <v/>
      </c>
      <c r="M182" s="9" t="n">
        <v>0.625</v>
      </c>
    </row>
    <row r="183">
      <c r="A183" s="14" t="inlineStr">
        <is>
          <t>2026-08-24</t>
        </is>
      </c>
      <c r="B183" s="14" t="inlineStr">
        <is>
          <t>Wk4  24 Aug–30 Aug</t>
        </is>
      </c>
      <c r="C183" s="14" t="inlineStr">
        <is>
          <t>Development</t>
        </is>
      </c>
      <c r="D183" s="14" t="inlineStr">
        <is>
          <t>Sajawal Khan</t>
        </is>
      </c>
      <c r="E183" s="14" t="inlineStr">
        <is>
          <t>Web Content Specialist</t>
        </is>
      </c>
      <c r="F183" s="14" t="inlineStr">
        <is>
          <t>Builders Trade Depot</t>
        </is>
      </c>
      <c r="G183" s="15" t="inlineStr">
        <is>
          <t>New product Upload and Fixes</t>
        </is>
      </c>
      <c r="H183" s="15" t="inlineStr">
        <is>
          <t>Uploading products and fixing issues raised in a client meeting.</t>
        </is>
      </c>
      <c r="I183" s="14" t="inlineStr">
        <is>
          <t>approved</t>
        </is>
      </c>
      <c r="J183" s="9" t="n">
        <v>0.09722222222222222</v>
      </c>
      <c r="K183" s="9" t="n">
        <v>0.3854166666666667</v>
      </c>
      <c r="L183" s="9">
        <f>J183+K183</f>
        <v/>
      </c>
      <c r="M183" s="9" t="n">
        <v>0.6666666666666666</v>
      </c>
    </row>
    <row r="184">
      <c r="A184" s="14" t="inlineStr">
        <is>
          <t>2026-08-24</t>
        </is>
      </c>
      <c r="B184" s="14" t="inlineStr">
        <is>
          <t>Wk4  24 Aug–30 Aug</t>
        </is>
      </c>
      <c r="C184" s="14" t="inlineStr">
        <is>
          <t>Development</t>
        </is>
      </c>
      <c r="D184" s="14" t="inlineStr">
        <is>
          <t>Zain Malik</t>
        </is>
      </c>
      <c r="E184" s="14" t="inlineStr">
        <is>
          <t>Software Engineer II</t>
        </is>
      </c>
      <c r="F184" s="14" t="inlineStr">
        <is>
          <t>Cricket Sansar</t>
        </is>
      </c>
      <c r="G184" s="15" t="inlineStr">
        <is>
          <t>Google Analytics</t>
        </is>
      </c>
      <c r="H184" s="15" t="inlineStr">
        <is>
          <t>Setting up Google Analytics for the web and mobile apps.</t>
        </is>
      </c>
      <c r="I184" s="14" t="inlineStr">
        <is>
          <t>approved</t>
        </is>
      </c>
      <c r="J184" s="9" t="n">
        <v>0</v>
      </c>
      <c r="K184" s="9" t="n">
        <v>0</v>
      </c>
      <c r="L184" s="9">
        <f>J184+K184</f>
        <v/>
      </c>
      <c r="M184" s="9" t="n">
        <v>0.25</v>
      </c>
    </row>
    <row r="185">
      <c r="A185" s="14" t="inlineStr">
        <is>
          <t>2026-08-24</t>
        </is>
      </c>
      <c r="B185" s="14" t="inlineStr">
        <is>
          <t>Wk4  24 Aug–30 Aug</t>
        </is>
      </c>
      <c r="C185" s="14" t="inlineStr">
        <is>
          <t>Development</t>
        </is>
      </c>
      <c r="D185" s="14" t="inlineStr">
        <is>
          <t>Zain Malik</t>
        </is>
      </c>
      <c r="E185" s="14" t="inlineStr">
        <is>
          <t>Software Engineer II</t>
        </is>
      </c>
      <c r="F185" s="14" t="inlineStr">
        <is>
          <t>Cricket Sansar</t>
        </is>
      </c>
      <c r="G185" s="15" t="inlineStr">
        <is>
          <t>Lock Screen Activity</t>
        </is>
      </c>
      <c r="H185" s="15" t="inlineStr">
        <is>
          <t>Building a lock-screen feature for Android, iOS and web.</t>
        </is>
      </c>
      <c r="I185" s="14" t="inlineStr">
        <is>
          <t>approved</t>
        </is>
      </c>
      <c r="J185" s="9" t="n">
        <v>1.0375</v>
      </c>
      <c r="K185" s="9" t="n">
        <v>0.08333333333333333</v>
      </c>
      <c r="L185" s="9">
        <f>J185+K185</f>
        <v/>
      </c>
      <c r="M185" s="9" t="n">
        <v>0.75</v>
      </c>
    </row>
    <row r="186">
      <c r="A186" s="14" t="inlineStr">
        <is>
          <t>2026-08-24</t>
        </is>
      </c>
      <c r="B186" s="14" t="inlineStr">
        <is>
          <t>Wk4  24 Aug–30 Aug</t>
        </is>
      </c>
      <c r="C186" s="14" t="inlineStr">
        <is>
          <t>Development</t>
        </is>
      </c>
      <c r="D186" s="14" t="inlineStr">
        <is>
          <t>khizer hayat</t>
        </is>
      </c>
      <c r="E186" s="14" t="inlineStr">
        <is>
          <t>CMS Developer</t>
        </is>
      </c>
      <c r="F186" s="14" t="inlineStr">
        <is>
          <t>Zedan</t>
        </is>
      </c>
      <c r="G186" s="15" t="inlineStr">
        <is>
          <t>Clearance Sale on Website</t>
        </is>
      </c>
      <c r="H186" s="15" t="inlineStr">
        <is>
          <t>Creating the clearance collection with 35% off applied.</t>
        </is>
      </c>
      <c r="I186" s="14" t="inlineStr">
        <is>
          <t>approved</t>
        </is>
      </c>
      <c r="J186" s="9" t="n">
        <v>0.009027777777777777</v>
      </c>
      <c r="K186" s="9" t="n">
        <v>0</v>
      </c>
      <c r="L186" s="9">
        <f>J186+K186</f>
        <v/>
      </c>
      <c r="M186" s="9" t="n">
        <v>0</v>
      </c>
    </row>
    <row r="187">
      <c r="A187" s="14" t="inlineStr">
        <is>
          <t>2026-08-24</t>
        </is>
      </c>
      <c r="B187" s="14" t="inlineStr">
        <is>
          <t>Wk4  24 Aug–30 Aug</t>
        </is>
      </c>
      <c r="C187" s="14" t="inlineStr">
        <is>
          <t>Development</t>
        </is>
      </c>
      <c r="D187" s="14" t="inlineStr">
        <is>
          <t>khizer hayat</t>
        </is>
      </c>
      <c r="E187" s="14" t="inlineStr">
        <is>
          <t>CMS Developer</t>
        </is>
      </c>
      <c r="F187" s="14" t="inlineStr">
        <is>
          <t>Learning</t>
        </is>
      </c>
      <c r="G187" s="15" t="inlineStr">
        <is>
          <t>Learn Webflow</t>
        </is>
      </c>
      <c r="H187" s="15" t="inlineStr">
        <is>
          <t>Training time: learning Webflow because our own site will be built on it.</t>
        </is>
      </c>
      <c r="I187" s="14" t="inlineStr">
        <is>
          <t>in_progress</t>
        </is>
      </c>
      <c r="J187" s="9" t="n">
        <v>0.03055555555555555</v>
      </c>
      <c r="K187" s="9" t="n">
        <v>0</v>
      </c>
      <c r="L187" s="9">
        <f>J187+K187</f>
        <v/>
      </c>
      <c r="M187" s="9" t="n">
        <v>0</v>
      </c>
    </row>
    <row r="188">
      <c r="A188" s="14" t="inlineStr">
        <is>
          <t>2026-08-24</t>
        </is>
      </c>
      <c r="B188" s="14" t="inlineStr">
        <is>
          <t>Wk4  24 Aug–30 Aug</t>
        </is>
      </c>
      <c r="C188" s="14" t="inlineStr">
        <is>
          <t>Development</t>
        </is>
      </c>
      <c r="D188" s="14" t="inlineStr">
        <is>
          <t>khizer hayat</t>
        </is>
      </c>
      <c r="E188" s="14" t="inlineStr">
        <is>
          <t>CMS Developer</t>
        </is>
      </c>
      <c r="F188" s="14" t="inlineStr">
        <is>
          <t>Neowall</t>
        </is>
      </c>
      <c r="G188" s="15" t="inlineStr">
        <is>
          <t>Neowall Website Updates</t>
        </is>
      </c>
      <c r="H188" s="15" t="inlineStr">
        <is>
          <t>Website changes from the client's attached document.</t>
        </is>
      </c>
      <c r="I188" s="14" t="inlineStr">
        <is>
          <t>approved</t>
        </is>
      </c>
      <c r="J188" s="9" t="n">
        <v>0.2493055555555556</v>
      </c>
      <c r="K188" s="9" t="n">
        <v>0</v>
      </c>
      <c r="L188" s="9">
        <f>J188+K188</f>
        <v/>
      </c>
      <c r="M188" s="9" t="n">
        <v>0</v>
      </c>
    </row>
    <row r="189">
      <c r="A189" s="14" t="inlineStr">
        <is>
          <t>2026-08-24</t>
        </is>
      </c>
      <c r="B189" s="14" t="inlineStr">
        <is>
          <t>Wk4  24 Aug–30 Aug</t>
        </is>
      </c>
      <c r="C189" s="14" t="inlineStr">
        <is>
          <t>Development</t>
        </is>
      </c>
      <c r="D189" s="14" t="inlineStr">
        <is>
          <t>khizer hayat</t>
        </is>
      </c>
      <c r="E189" s="14" t="inlineStr">
        <is>
          <t>CMS Developer</t>
        </is>
      </c>
      <c r="F189" s="14" t="inlineStr">
        <is>
          <t>Zedan</t>
        </is>
      </c>
      <c r="G189" s="15" t="inlineStr">
        <is>
          <t>Remover Azaadi Banner from here section</t>
        </is>
      </c>
      <c r="H189" s="15" t="inlineStr">
        <is>
          <t>Removing the Independence banner and restoring the old version.</t>
        </is>
      </c>
      <c r="I189" s="14" t="inlineStr">
        <is>
          <t>approved</t>
        </is>
      </c>
      <c r="J189" s="9" t="n">
        <v>0.004861111111111111</v>
      </c>
      <c r="K189" s="9" t="n">
        <v>0</v>
      </c>
      <c r="L189" s="9">
        <f>J189+K189</f>
        <v/>
      </c>
      <c r="M189" s="9" t="n">
        <v>0</v>
      </c>
    </row>
    <row r="190">
      <c r="A190" s="14" t="inlineStr">
        <is>
          <t>2026-08-24</t>
        </is>
      </c>
      <c r="B190" s="14" t="inlineStr">
        <is>
          <t>Wk4  24 Aug–30 Aug</t>
        </is>
      </c>
      <c r="C190" s="14" t="inlineStr">
        <is>
          <t>Development</t>
        </is>
      </c>
      <c r="D190" s="14" t="inlineStr">
        <is>
          <t>khizer hayat</t>
        </is>
      </c>
      <c r="E190" s="14" t="inlineStr">
        <is>
          <t>CMS Developer</t>
        </is>
      </c>
      <c r="F190" s="14" t="inlineStr">
        <is>
          <t>Refinance My Car website (Sub Brand of CCF)</t>
        </is>
      </c>
      <c r="G190" s="15" t="inlineStr">
        <is>
          <t>Review the website thoroughly</t>
        </is>
      </c>
      <c r="H190" s="15" t="inlineStr">
        <is>
          <t>Full site review after a WordPress auto-update broke things.</t>
        </is>
      </c>
      <c r="I190" s="14" t="inlineStr">
        <is>
          <t>approved</t>
        </is>
      </c>
      <c r="J190" s="9" t="n">
        <v>0.08749999999999999</v>
      </c>
      <c r="K190" s="9" t="n">
        <v>0</v>
      </c>
      <c r="L190" s="9">
        <f>J190+K190</f>
        <v/>
      </c>
      <c r="M190" s="9" t="n">
        <v>0</v>
      </c>
    </row>
    <row r="191">
      <c r="A191" s="14" t="inlineStr">
        <is>
          <t>2026-08-24</t>
        </is>
      </c>
      <c r="B191" s="14" t="inlineStr">
        <is>
          <t>Wk4  24 Aug–30 Aug</t>
        </is>
      </c>
      <c r="C191" s="14" t="inlineStr">
        <is>
          <t>Development</t>
        </is>
      </c>
      <c r="D191" s="14" t="inlineStr">
        <is>
          <t>khizer hayat</t>
        </is>
      </c>
      <c r="E191" s="14" t="inlineStr">
        <is>
          <t>CMS Developer</t>
        </is>
      </c>
      <c r="F191" s="14" t="inlineStr">
        <is>
          <t>Neowall</t>
        </is>
      </c>
      <c r="G191" s="15" t="inlineStr">
        <is>
          <t>UI Rewamp</t>
        </is>
      </c>
      <c r="H191" s="15" t="inlineStr">
        <is>
          <t>General UI fixes and improvements for Neowall.</t>
        </is>
      </c>
      <c r="I191" s="14" t="inlineStr">
        <is>
          <t>approved</t>
        </is>
      </c>
      <c r="J191" s="9" t="n">
        <v>0.01736111111111111</v>
      </c>
      <c r="K191" s="9" t="n">
        <v>0</v>
      </c>
      <c r="L191" s="9">
        <f>J191+K191</f>
        <v/>
      </c>
      <c r="M191" s="9" t="n">
        <v>0</v>
      </c>
    </row>
    <row r="192">
      <c r="A192" s="14" t="inlineStr">
        <is>
          <t>2026-08-24</t>
        </is>
      </c>
      <c r="B192" s="14" t="inlineStr">
        <is>
          <t>Wk4  24 Aug–30 Aug</t>
        </is>
      </c>
      <c r="C192" s="14" t="inlineStr">
        <is>
          <t>Development</t>
        </is>
      </c>
      <c r="D192" s="14" t="inlineStr">
        <is>
          <t>khizer hayat</t>
        </is>
      </c>
      <c r="E192" s="14" t="inlineStr">
        <is>
          <t>CMS Developer</t>
        </is>
      </c>
      <c r="F192" s="14" t="inlineStr">
        <is>
          <t>Capital Car Finance (CCF)</t>
        </is>
      </c>
      <c r="G192" s="15" t="inlineStr">
        <is>
          <t>Warranty Product Page for Web and Mobile</t>
        </is>
      </c>
      <c r="H192" s="15" t="inlineStr">
        <is>
          <t>Building the warranty product page from the Figma design.</t>
        </is>
      </c>
      <c r="I192" s="14" t="inlineStr">
        <is>
          <t>approved</t>
        </is>
      </c>
      <c r="J192" s="9" t="n">
        <v>0.26875</v>
      </c>
      <c r="K192" s="9" t="n">
        <v>0</v>
      </c>
      <c r="L192" s="9">
        <f>J192+K192</f>
        <v/>
      </c>
      <c r="M192" s="9" t="n">
        <v>0</v>
      </c>
    </row>
    <row r="193">
      <c r="A193" s="14" t="inlineStr">
        <is>
          <t>2026-08-31</t>
        </is>
      </c>
      <c r="B193" s="14" t="inlineStr">
        <is>
          <t>Wk5  31 Aug–06 Sep</t>
        </is>
      </c>
      <c r="C193" s="14" t="inlineStr">
        <is>
          <t>Development</t>
        </is>
      </c>
      <c r="D193" s="14" t="inlineStr">
        <is>
          <t>Abbas Khan</t>
        </is>
      </c>
      <c r="E193" s="14" t="inlineStr">
        <is>
          <t>CMS Developer and UI/UX Designer</t>
        </is>
      </c>
      <c r="F193" s="14" t="inlineStr">
        <is>
          <t>Greta Grove</t>
        </is>
      </c>
      <c r="G193" s="15" t="inlineStr">
        <is>
          <t>Catalogue Page</t>
        </is>
      </c>
      <c r="H193" s="15" t="inlineStr">
        <is>
          <t>Creating and duplicating the catalogue page with content.</t>
        </is>
      </c>
      <c r="I193" s="14" t="inlineStr">
        <is>
          <t>review</t>
        </is>
      </c>
      <c r="J193" s="9" t="n">
        <v>0.1847222222222222</v>
      </c>
      <c r="K193" s="9" t="n">
        <v>0</v>
      </c>
      <c r="L193" s="9">
        <f>J193+K193</f>
        <v/>
      </c>
      <c r="M193" s="9" t="n">
        <v>0.125</v>
      </c>
    </row>
    <row r="194">
      <c r="A194" s="14" t="inlineStr">
        <is>
          <t>2026-08-31</t>
        </is>
      </c>
      <c r="B194" s="14" t="inlineStr">
        <is>
          <t>Wk5  31 Aug–06 Sep</t>
        </is>
      </c>
      <c r="C194" s="14" t="inlineStr">
        <is>
          <t>Development</t>
        </is>
      </c>
      <c r="D194" s="14" t="inlineStr">
        <is>
          <t>Abbas Khan</t>
        </is>
      </c>
      <c r="E194" s="14" t="inlineStr">
        <is>
          <t>CMS Developer and UI/UX Designer</t>
        </is>
      </c>
      <c r="F194" s="14" t="inlineStr">
        <is>
          <t>Greta Grove</t>
        </is>
      </c>
      <c r="G194" s="15" t="inlineStr">
        <is>
          <t>Develop Two Pending Pages</t>
        </is>
      </c>
      <c r="H194" s="15" t="inlineStr">
        <is>
          <t>Building the two website pages still outstanding.</t>
        </is>
      </c>
      <c r="I194" s="14" t="inlineStr">
        <is>
          <t>review</t>
        </is>
      </c>
      <c r="J194" s="9" t="n">
        <v>0.4805555555555556</v>
      </c>
      <c r="K194" s="9" t="n">
        <v>0</v>
      </c>
      <c r="L194" s="9">
        <f>J194+K194</f>
        <v/>
      </c>
      <c r="M194" s="9" t="n">
        <v>0.5625</v>
      </c>
    </row>
    <row r="195">
      <c r="A195" s="14" t="inlineStr">
        <is>
          <t>2026-08-31</t>
        </is>
      </c>
      <c r="B195" s="14" t="inlineStr">
        <is>
          <t>Wk5  31 Aug–06 Sep</t>
        </is>
      </c>
      <c r="C195" s="14" t="inlineStr">
        <is>
          <t>Development</t>
        </is>
      </c>
      <c r="D195" s="14" t="inlineStr">
        <is>
          <t>Abbas Khan</t>
        </is>
      </c>
      <c r="E195" s="14" t="inlineStr">
        <is>
          <t>CMS Developer and UI/UX Designer</t>
        </is>
      </c>
      <c r="F195" s="14" t="inlineStr">
        <is>
          <t>Greta Grove</t>
        </is>
      </c>
      <c r="G195" s="15" t="inlineStr">
        <is>
          <t>GretaGrove category content</t>
        </is>
      </c>
      <c r="H195" s="15" t="inlineStr">
        <is>
          <t>Reviewing categories and products and reporting missing data.</t>
        </is>
      </c>
      <c r="I195" s="14" t="inlineStr">
        <is>
          <t>approved</t>
        </is>
      </c>
      <c r="J195" s="9" t="n">
        <v>0.03402777777777777</v>
      </c>
      <c r="K195" s="9" t="n">
        <v>0</v>
      </c>
      <c r="L195" s="9">
        <f>J195+K195</f>
        <v/>
      </c>
      <c r="M195" s="9" t="n">
        <v>0</v>
      </c>
    </row>
    <row r="196">
      <c r="A196" s="14" t="inlineStr">
        <is>
          <t>2026-08-31</t>
        </is>
      </c>
      <c r="B196" s="14" t="inlineStr">
        <is>
          <t>Wk5  31 Aug–06 Sep</t>
        </is>
      </c>
      <c r="C196" s="14" t="inlineStr">
        <is>
          <t>Development</t>
        </is>
      </c>
      <c r="D196" s="14" t="inlineStr">
        <is>
          <t>Abbas Khan</t>
        </is>
      </c>
      <c r="E196" s="14" t="inlineStr">
        <is>
          <t>CMS Developer and UI/UX Designer</t>
        </is>
      </c>
      <c r="F196" s="14" t="inlineStr">
        <is>
          <t>Learning</t>
        </is>
      </c>
      <c r="G196" s="15" t="inlineStr">
        <is>
          <t>Learn Webflow</t>
        </is>
      </c>
      <c r="H196" s="15" t="inlineStr">
        <is>
          <t>Training time: learning Webflow because our own site will be built on it.</t>
        </is>
      </c>
      <c r="I196" s="14" t="inlineStr">
        <is>
          <t>in_progress</t>
        </is>
      </c>
      <c r="J196" s="9" t="n">
        <v>0.2006944444444445</v>
      </c>
      <c r="K196" s="9" t="n">
        <v>0</v>
      </c>
      <c r="L196" s="9">
        <f>J196+K196</f>
        <v/>
      </c>
      <c r="M196" s="9" t="n">
        <v>0.04166666666666666</v>
      </c>
    </row>
    <row r="197">
      <c r="A197" s="14" t="inlineStr">
        <is>
          <t>2026-08-31</t>
        </is>
      </c>
      <c r="B197" s="14" t="inlineStr">
        <is>
          <t>Wk5  31 Aug–06 Sep</t>
        </is>
      </c>
      <c r="C197" s="14" t="inlineStr">
        <is>
          <t>Development</t>
        </is>
      </c>
      <c r="D197" s="14" t="inlineStr">
        <is>
          <t>Abbas Khan</t>
        </is>
      </c>
      <c r="E197" s="14" t="inlineStr">
        <is>
          <t>CMS Developer and UI/UX Designer</t>
        </is>
      </c>
      <c r="F197" s="14" t="inlineStr">
        <is>
          <t>Bright Amber</t>
        </is>
      </c>
      <c r="G197" s="15" t="inlineStr">
        <is>
          <t>Website Amendments</t>
        </is>
      </c>
      <c r="H197" s="15" t="inlineStr">
        <is>
          <t>Making the website changes the client listed in a document.</t>
        </is>
      </c>
      <c r="I197" s="14" t="inlineStr">
        <is>
          <t>approved</t>
        </is>
      </c>
      <c r="J197" s="9" t="n">
        <v>0.02777777777777778</v>
      </c>
      <c r="K197" s="9" t="n">
        <v>0</v>
      </c>
      <c r="L197" s="9">
        <f>J197+K197</f>
        <v/>
      </c>
      <c r="M197" s="9" t="n">
        <v>0.02777777777777778</v>
      </c>
    </row>
    <row r="198">
      <c r="A198" s="14" t="inlineStr">
        <is>
          <t>2026-08-31</t>
        </is>
      </c>
      <c r="B198" s="14" t="inlineStr">
        <is>
          <t>Wk5  31 Aug–06 Sep</t>
        </is>
      </c>
      <c r="C198" s="14" t="inlineStr">
        <is>
          <t>Development</t>
        </is>
      </c>
      <c r="D198" s="14" t="inlineStr">
        <is>
          <t>Abbas Khan</t>
        </is>
      </c>
      <c r="E198" s="14" t="inlineStr">
        <is>
          <t>CMS Developer and UI/UX Designer</t>
        </is>
      </c>
      <c r="F198" s="14" t="inlineStr">
        <is>
          <t>Titan Forge</t>
        </is>
      </c>
      <c r="G198" s="15" t="inlineStr">
        <is>
          <t>Website Changes</t>
        </is>
      </c>
      <c r="H198" s="15" t="inlineStr">
        <is>
          <t>SEO-driven changes: category headings, descriptions and FAQ sections.</t>
        </is>
      </c>
      <c r="I198" s="14" t="inlineStr">
        <is>
          <t>approved</t>
        </is>
      </c>
      <c r="J198" s="9" t="n">
        <v>0.2465277777777778</v>
      </c>
      <c r="K198" s="9" t="n">
        <v>0</v>
      </c>
      <c r="L198" s="9">
        <f>J198+K198</f>
        <v/>
      </c>
      <c r="M198" s="9" t="n">
        <v>0.2847222222222222</v>
      </c>
    </row>
    <row r="199">
      <c r="A199" s="14" t="inlineStr">
        <is>
          <t>2026-08-31</t>
        </is>
      </c>
      <c r="B199" s="14" t="inlineStr">
        <is>
          <t>Wk5  31 Aug–06 Sep</t>
        </is>
      </c>
      <c r="C199" s="14" t="inlineStr">
        <is>
          <t>Development</t>
        </is>
      </c>
      <c r="D199" s="14" t="inlineStr">
        <is>
          <t>Abbas Khan</t>
        </is>
      </c>
      <c r="E199" s="14" t="inlineStr">
        <is>
          <t>CMS Developer and UI/UX Designer</t>
        </is>
      </c>
      <c r="F199" s="14" t="inlineStr">
        <is>
          <t>Oasis Fertility</t>
        </is>
      </c>
      <c r="G199" s="15" t="inlineStr">
        <is>
          <t>Website Fixes</t>
        </is>
      </c>
      <c r="H199" s="15" t="inlineStr">
        <is>
          <t>Fixing website issues listed in a shared Google Doc.</t>
        </is>
      </c>
      <c r="I199" s="14" t="inlineStr">
        <is>
          <t>review</t>
        </is>
      </c>
      <c r="J199" s="9" t="n">
        <v>0.1645833333333333</v>
      </c>
      <c r="K199" s="9" t="n">
        <v>0</v>
      </c>
      <c r="L199" s="9">
        <f>J199+K199</f>
        <v/>
      </c>
      <c r="M199" s="9" t="n">
        <v>0.1666666666666667</v>
      </c>
    </row>
    <row r="200">
      <c r="A200" s="14" t="inlineStr">
        <is>
          <t>2026-08-31</t>
        </is>
      </c>
      <c r="B200" s="14" t="inlineStr">
        <is>
          <t>Wk5  31 Aug–06 Sep</t>
        </is>
      </c>
      <c r="C200" s="14" t="inlineStr">
        <is>
          <t>Development</t>
        </is>
      </c>
      <c r="D200" s="14" t="inlineStr">
        <is>
          <t>Abbas Khan</t>
        </is>
      </c>
      <c r="E200" s="14" t="inlineStr">
        <is>
          <t>CMS Developer and UI/UX Designer</t>
        </is>
      </c>
      <c r="F200" s="14" t="inlineStr">
        <is>
          <t>Titan Forge</t>
        </is>
      </c>
      <c r="G200" s="15" t="inlineStr">
        <is>
          <t>Website New Amendments</t>
        </is>
      </c>
      <c r="H200" s="15" t="inlineStr">
        <is>
          <t>Website changes from the client's document.</t>
        </is>
      </c>
      <c r="I200" s="14" t="inlineStr">
        <is>
          <t>approved</t>
        </is>
      </c>
      <c r="J200" s="9" t="n">
        <v>0.1256944444444444</v>
      </c>
      <c r="K200" s="9" t="n">
        <v>0</v>
      </c>
      <c r="L200" s="9">
        <f>J200+K200</f>
        <v/>
      </c>
      <c r="M200" s="9" t="n">
        <v>0.2083333333333333</v>
      </c>
    </row>
    <row r="201">
      <c r="A201" s="14" t="inlineStr">
        <is>
          <t>2026-08-31</t>
        </is>
      </c>
      <c r="B201" s="14" t="inlineStr">
        <is>
          <t>Wk5  31 Aug–06 Sep</t>
        </is>
      </c>
      <c r="C201" s="14" t="inlineStr">
        <is>
          <t>Development</t>
        </is>
      </c>
      <c r="D201" s="14" t="inlineStr">
        <is>
          <t>Muhammad Yahya</t>
        </is>
      </c>
      <c r="E201" s="14" t="inlineStr">
        <is>
          <t>Software Engineer I</t>
        </is>
      </c>
      <c r="F201" s="14" t="inlineStr">
        <is>
          <t>Learning</t>
        </is>
      </c>
      <c r="G201" s="15" t="inlineStr">
        <is>
          <t>Elementor</t>
        </is>
      </c>
      <c r="H201" s="15" t="inlineStr">
        <is>
          <t>Training time: learning the Elementor page builder.</t>
        </is>
      </c>
      <c r="I201" s="14" t="inlineStr">
        <is>
          <t>in_progress</t>
        </is>
      </c>
      <c r="J201" s="9" t="n">
        <v>0.8340277777777778</v>
      </c>
      <c r="K201" s="9" t="n">
        <v>0.1215277777777778</v>
      </c>
      <c r="L201" s="9">
        <f>J201+K201</f>
        <v/>
      </c>
      <c r="M201" s="9" t="n">
        <v>0.4583333333333333</v>
      </c>
    </row>
    <row r="202">
      <c r="A202" s="14" t="inlineStr">
        <is>
          <t>2026-08-31</t>
        </is>
      </c>
      <c r="B202" s="14" t="inlineStr">
        <is>
          <t>Wk5  31 Aug–06 Sep</t>
        </is>
      </c>
      <c r="C202" s="14" t="inlineStr">
        <is>
          <t>Development</t>
        </is>
      </c>
      <c r="D202" s="14" t="inlineStr">
        <is>
          <t>Muhammad Yahya</t>
        </is>
      </c>
      <c r="E202" s="14" t="inlineStr">
        <is>
          <t>Software Engineer I</t>
        </is>
      </c>
      <c r="F202" s="14" t="inlineStr">
        <is>
          <t>Greta Grove</t>
        </is>
      </c>
      <c r="G202" s="15" t="inlineStr">
        <is>
          <t>GretaGrove category content</t>
        </is>
      </c>
      <c r="H202" s="15" t="inlineStr">
        <is>
          <t>Reviewing categories and products and reporting missing data.</t>
        </is>
      </c>
      <c r="I202" s="14" t="inlineStr">
        <is>
          <t>approved</t>
        </is>
      </c>
      <c r="J202" s="9" t="n">
        <v>0.04027777777777778</v>
      </c>
      <c r="K202" s="9" t="n">
        <v>0</v>
      </c>
      <c r="L202" s="9">
        <f>J202+K202</f>
        <v/>
      </c>
      <c r="M202" s="9" t="n">
        <v>0</v>
      </c>
    </row>
    <row r="203">
      <c r="A203" s="14" t="inlineStr">
        <is>
          <t>2026-08-31</t>
        </is>
      </c>
      <c r="B203" s="14" t="inlineStr">
        <is>
          <t>Wk5  31 Aug–06 Sep</t>
        </is>
      </c>
      <c r="C203" s="14" t="inlineStr">
        <is>
          <t>Development</t>
        </is>
      </c>
      <c r="D203" s="14" t="inlineStr">
        <is>
          <t>Muhammad Yahya</t>
        </is>
      </c>
      <c r="E203" s="14" t="inlineStr">
        <is>
          <t>Software Engineer I</t>
        </is>
      </c>
      <c r="F203" s="14" t="inlineStr">
        <is>
          <t>Learning</t>
        </is>
      </c>
      <c r="G203" s="15" t="inlineStr">
        <is>
          <t>Learn Webflow</t>
        </is>
      </c>
      <c r="H203" s="15" t="inlineStr">
        <is>
          <t>Training time: learning Webflow because our own site will be built on it.</t>
        </is>
      </c>
      <c r="I203" s="14" t="inlineStr">
        <is>
          <t>in_progress</t>
        </is>
      </c>
      <c r="J203" s="9" t="n">
        <v>0.007638888888888889</v>
      </c>
      <c r="K203" s="9" t="n">
        <v>0</v>
      </c>
      <c r="L203" s="9">
        <f>J203+K203</f>
        <v/>
      </c>
      <c r="M203" s="9" t="n">
        <v>0</v>
      </c>
    </row>
    <row r="204">
      <c r="A204" s="14" t="inlineStr">
        <is>
          <t>2026-08-31</t>
        </is>
      </c>
      <c r="B204" s="14" t="inlineStr">
        <is>
          <t>Wk5  31 Aug–06 Sep</t>
        </is>
      </c>
      <c r="C204" s="14" t="inlineStr">
        <is>
          <t>Development</t>
        </is>
      </c>
      <c r="D204" s="14" t="inlineStr">
        <is>
          <t>Muhammad Yahya</t>
        </is>
      </c>
      <c r="E204" s="14" t="inlineStr">
        <is>
          <t>Software Engineer I</t>
        </is>
      </c>
      <c r="F204" s="14" t="inlineStr">
        <is>
          <t>Cricket Sansar</t>
        </is>
      </c>
      <c r="G204" s="15" t="inlineStr">
        <is>
          <t>Sponsorship Bat Page UI</t>
        </is>
      </c>
      <c r="H204" s="15" t="inlineStr">
        <is>
          <t>Designing the sponsorship bat page for the web app.</t>
        </is>
      </c>
      <c r="I204" s="14" t="inlineStr">
        <is>
          <t>approved</t>
        </is>
      </c>
      <c r="J204" s="9" t="n">
        <v>0.2819444444444444</v>
      </c>
      <c r="K204" s="9" t="n">
        <v>0.0763888888888889</v>
      </c>
      <c r="L204" s="9">
        <f>J204+K204</f>
        <v/>
      </c>
      <c r="M204" s="9" t="n">
        <v>0</v>
      </c>
    </row>
    <row r="205">
      <c r="A205" s="14" t="inlineStr">
        <is>
          <t>2026-08-31</t>
        </is>
      </c>
      <c r="B205" s="14" t="inlineStr">
        <is>
          <t>Wk5  31 Aug–06 Sep</t>
        </is>
      </c>
      <c r="C205" s="14" t="inlineStr">
        <is>
          <t>Development</t>
        </is>
      </c>
      <c r="D205" s="14" t="inlineStr">
        <is>
          <t>Muhammad Yahya</t>
        </is>
      </c>
      <c r="E205" s="14" t="inlineStr">
        <is>
          <t>Software Engineer I</t>
        </is>
      </c>
      <c r="F205" s="14" t="inlineStr">
        <is>
          <t>Titan Forge</t>
        </is>
      </c>
      <c r="G205" s="15" t="inlineStr">
        <is>
          <t>Website Changes</t>
        </is>
      </c>
      <c r="H205" s="15" t="inlineStr">
        <is>
          <t>SEO-driven changes: category headings, descriptions and FAQ sections.</t>
        </is>
      </c>
      <c r="I205" s="14" t="inlineStr">
        <is>
          <t>approved</t>
        </is>
      </c>
      <c r="J205" s="9" t="n">
        <v>0.1277777777777778</v>
      </c>
      <c r="K205" s="9" t="n">
        <v>0</v>
      </c>
      <c r="L205" s="9">
        <f>J205+K205</f>
        <v/>
      </c>
      <c r="M205" s="9" t="n">
        <v>0</v>
      </c>
    </row>
    <row r="206">
      <c r="A206" s="14" t="inlineStr">
        <is>
          <t>2026-08-31</t>
        </is>
      </c>
      <c r="B206" s="14" t="inlineStr">
        <is>
          <t>Wk5  31 Aug–06 Sep</t>
        </is>
      </c>
      <c r="C206" s="14" t="inlineStr">
        <is>
          <t>Development</t>
        </is>
      </c>
      <c r="D206" s="14" t="inlineStr">
        <is>
          <t>Muhammad Yahya</t>
        </is>
      </c>
      <c r="E206" s="14" t="inlineStr">
        <is>
          <t>Software Engineer I</t>
        </is>
      </c>
      <c r="F206" s="14" t="inlineStr">
        <is>
          <t>Neowall</t>
        </is>
      </c>
      <c r="G206" s="15" t="inlineStr">
        <is>
          <t>Website Fixes</t>
        </is>
      </c>
      <c r="H206" s="15" t="inlineStr">
        <is>
          <t>Fixing website issues listed in a shared Google Doc.</t>
        </is>
      </c>
      <c r="I206" s="14" t="inlineStr">
        <is>
          <t>approved</t>
        </is>
      </c>
      <c r="J206" s="9" t="n">
        <v>0.02569444444444444</v>
      </c>
      <c r="K206" s="9" t="n">
        <v>0</v>
      </c>
      <c r="L206" s="9">
        <f>J206+K206</f>
        <v/>
      </c>
      <c r="M206" s="9" t="n">
        <v>0</v>
      </c>
    </row>
    <row r="207">
      <c r="A207" s="14" t="inlineStr">
        <is>
          <t>2026-08-31</t>
        </is>
      </c>
      <c r="B207" s="14" t="inlineStr">
        <is>
          <t>Wk5  31 Aug–06 Sep</t>
        </is>
      </c>
      <c r="C207" s="14" t="inlineStr">
        <is>
          <t>Development</t>
        </is>
      </c>
      <c r="D207" s="14" t="inlineStr">
        <is>
          <t>Sajawal Khan</t>
        </is>
      </c>
      <c r="E207" s="14" t="inlineStr">
        <is>
          <t>Web Content Specialist</t>
        </is>
      </c>
      <c r="F207" s="14" t="inlineStr">
        <is>
          <t>Zedan</t>
        </is>
      </c>
      <c r="G207" s="15" t="inlineStr">
        <is>
          <t>Clearance Sale on Website</t>
        </is>
      </c>
      <c r="H207" s="15" t="inlineStr">
        <is>
          <t>Creating the clearance collection with 35% off applied.</t>
        </is>
      </c>
      <c r="I207" s="14" t="inlineStr">
        <is>
          <t>approved</t>
        </is>
      </c>
      <c r="J207" s="9" t="n">
        <v>0.09027777777777778</v>
      </c>
      <c r="K207" s="9" t="n">
        <v>0</v>
      </c>
      <c r="L207" s="9">
        <f>J207+K207</f>
        <v/>
      </c>
      <c r="M207" s="9" t="n">
        <v>0.08333333333333333</v>
      </c>
    </row>
    <row r="208">
      <c r="A208" s="14" t="inlineStr">
        <is>
          <t>2026-08-31</t>
        </is>
      </c>
      <c r="B208" s="14" t="inlineStr">
        <is>
          <t>Wk5  31 Aug–06 Sep</t>
        </is>
      </c>
      <c r="C208" s="14" t="inlineStr">
        <is>
          <t>Development</t>
        </is>
      </c>
      <c r="D208" s="14" t="inlineStr">
        <is>
          <t>Sajawal Khan</t>
        </is>
      </c>
      <c r="E208" s="14" t="inlineStr">
        <is>
          <t>Web Content Specialist</t>
        </is>
      </c>
      <c r="F208" s="14" t="inlineStr">
        <is>
          <t>Neowall</t>
        </is>
      </c>
      <c r="G208" s="15" t="inlineStr">
        <is>
          <t>List of Actions</t>
        </is>
      </c>
      <c r="H208" s="15" t="inlineStr">
        <is>
          <t>A list of small actions held as subtasks.</t>
        </is>
      </c>
      <c r="I208" s="14" t="inlineStr">
        <is>
          <t>blocked</t>
        </is>
      </c>
      <c r="J208" s="9" t="n">
        <v>0.05416666666666667</v>
      </c>
      <c r="K208" s="9" t="n">
        <v>0</v>
      </c>
      <c r="L208" s="9">
        <f>J208+K208</f>
        <v/>
      </c>
      <c r="M208" s="9" t="n">
        <v>0</v>
      </c>
    </row>
    <row r="209">
      <c r="A209" s="14" t="inlineStr">
        <is>
          <t>2026-08-31</t>
        </is>
      </c>
      <c r="B209" s="14" t="inlineStr">
        <is>
          <t>Wk5  31 Aug–06 Sep</t>
        </is>
      </c>
      <c r="C209" s="14" t="inlineStr">
        <is>
          <t>Development</t>
        </is>
      </c>
      <c r="D209" s="14" t="inlineStr">
        <is>
          <t>Sajawal Khan</t>
        </is>
      </c>
      <c r="E209" s="14" t="inlineStr">
        <is>
          <t>Web Content Specialist</t>
        </is>
      </c>
      <c r="F209" s="14" t="inlineStr">
        <is>
          <t>Builders Trade Depot</t>
        </is>
      </c>
      <c r="G209" s="15" t="inlineStr">
        <is>
          <t>New Products Upload from a website</t>
        </is>
      </c>
      <c r="H209" s="15" t="inlineStr">
        <is>
          <t>Copying products from a supplier site onto our client's store.</t>
        </is>
      </c>
      <c r="I209" s="14" t="inlineStr">
        <is>
          <t>approved</t>
        </is>
      </c>
      <c r="J209" s="9" t="n">
        <v>0.8048611111111111</v>
      </c>
      <c r="K209" s="9" t="n">
        <v>0.02777777777777778</v>
      </c>
      <c r="L209" s="9">
        <f>J209+K209</f>
        <v/>
      </c>
      <c r="M209" s="9" t="n">
        <v>0.5416666666666666</v>
      </c>
    </row>
    <row r="210">
      <c r="A210" s="14" t="inlineStr">
        <is>
          <t>2026-08-31</t>
        </is>
      </c>
      <c r="B210" s="14" t="inlineStr">
        <is>
          <t>Wk5  31 Aug–06 Sep</t>
        </is>
      </c>
      <c r="C210" s="14" t="inlineStr">
        <is>
          <t>Development</t>
        </is>
      </c>
      <c r="D210" s="14" t="inlineStr">
        <is>
          <t>Sajawal Khan</t>
        </is>
      </c>
      <c r="E210" s="14" t="inlineStr">
        <is>
          <t>Web Content Specialist</t>
        </is>
      </c>
      <c r="F210" s="14" t="inlineStr">
        <is>
          <t>Zedan</t>
        </is>
      </c>
      <c r="G210" s="15" t="inlineStr">
        <is>
          <t>Product Upload</t>
        </is>
      </c>
      <c r="H210" s="15" t="inlineStr">
        <is>
          <t>Replacing product images with the stitched-sole versions.</t>
        </is>
      </c>
      <c r="I210" s="14" t="inlineStr">
        <is>
          <t>blocked</t>
        </is>
      </c>
      <c r="J210" s="9" t="n">
        <v>0.05069444444444444</v>
      </c>
      <c r="K210" s="9" t="n">
        <v>0</v>
      </c>
      <c r="L210" s="9">
        <f>J210+K210</f>
        <v/>
      </c>
      <c r="M210" s="9" t="n">
        <v>0</v>
      </c>
    </row>
    <row r="211">
      <c r="A211" s="14" t="inlineStr">
        <is>
          <t>2026-08-31</t>
        </is>
      </c>
      <c r="B211" s="14" t="inlineStr">
        <is>
          <t>Wk5  31 Aug–06 Sep</t>
        </is>
      </c>
      <c r="C211" s="14" t="inlineStr">
        <is>
          <t>Development</t>
        </is>
      </c>
      <c r="D211" s="14" t="inlineStr">
        <is>
          <t>Sajawal Khan</t>
        </is>
      </c>
      <c r="E211" s="14" t="inlineStr">
        <is>
          <t>Web Content Specialist</t>
        </is>
      </c>
      <c r="F211" s="14" t="inlineStr">
        <is>
          <t>Zedan</t>
        </is>
      </c>
      <c r="G211" s="15" t="inlineStr">
        <is>
          <t>Zedan Product Upload</t>
        </is>
      </c>
      <c r="H211" s="15" t="inlineStr">
        <is>
          <t>Uploading shoot 5 and 6 product images.</t>
        </is>
      </c>
      <c r="I211" s="14" t="inlineStr">
        <is>
          <t>blocked</t>
        </is>
      </c>
      <c r="J211" s="9" t="n">
        <v>0.04791666666666667</v>
      </c>
      <c r="K211" s="9" t="n">
        <v>0</v>
      </c>
      <c r="L211" s="9">
        <f>J211+K211</f>
        <v/>
      </c>
      <c r="M211" s="9" t="n">
        <v>0</v>
      </c>
    </row>
    <row r="212">
      <c r="A212" s="14" t="inlineStr">
        <is>
          <t>2026-08-31</t>
        </is>
      </c>
      <c r="B212" s="14" t="inlineStr">
        <is>
          <t>Wk5  31 Aug–06 Sep</t>
        </is>
      </c>
      <c r="C212" s="14" t="inlineStr">
        <is>
          <t>Development</t>
        </is>
      </c>
      <c r="D212" s="14" t="inlineStr">
        <is>
          <t>Zain Malik</t>
        </is>
      </c>
      <c r="E212" s="14" t="inlineStr">
        <is>
          <t>Software Engineer II</t>
        </is>
      </c>
      <c r="F212" s="14" t="inlineStr">
        <is>
          <t>Linknbit Portal</t>
        </is>
      </c>
      <c r="G212" s="15" t="inlineStr">
        <is>
          <t>Chat design fixes</t>
        </is>
      </c>
      <c r="H212" s="15" t="inlineStr">
        <is>
          <t>Fixing the design of the portal's chat feature.</t>
        </is>
      </c>
      <c r="I212" s="14" t="inlineStr">
        <is>
          <t>approved</t>
        </is>
      </c>
      <c r="J212" s="9" t="n">
        <v>0.3076388888888889</v>
      </c>
      <c r="K212" s="9" t="n">
        <v>0.03819444444444445</v>
      </c>
      <c r="L212" s="9">
        <f>J212+K212</f>
        <v/>
      </c>
      <c r="M212" s="9" t="n">
        <v>0.25</v>
      </c>
    </row>
    <row r="213">
      <c r="A213" s="14" t="inlineStr">
        <is>
          <t>2026-08-31</t>
        </is>
      </c>
      <c r="B213" s="14" t="inlineStr">
        <is>
          <t>Wk5  31 Aug–06 Sep</t>
        </is>
      </c>
      <c r="C213" s="14" t="inlineStr">
        <is>
          <t>Development</t>
        </is>
      </c>
      <c r="D213" s="14" t="inlineStr">
        <is>
          <t>Zain Malik</t>
        </is>
      </c>
      <c r="E213" s="14" t="inlineStr">
        <is>
          <t>Software Engineer II</t>
        </is>
      </c>
      <c r="F213" s="14" t="inlineStr">
        <is>
          <t>Shifa</t>
        </is>
      </c>
      <c r="G213" s="15" t="inlineStr">
        <is>
          <t>Complete the project</t>
        </is>
      </c>
      <c r="H213" s="15" t="inlineStr">
        <is>
          <t>Finishing off the remaining Shifa project work.</t>
        </is>
      </c>
      <c r="I213" s="14" t="inlineStr">
        <is>
          <t>todo</t>
        </is>
      </c>
      <c r="J213" s="9" t="n">
        <v>0.3993055555555556</v>
      </c>
      <c r="K213" s="9" t="n">
        <v>0</v>
      </c>
      <c r="L213" s="9">
        <f>J213+K213</f>
        <v/>
      </c>
      <c r="M213" s="9" t="n">
        <v>0.4583333333333333</v>
      </c>
    </row>
    <row r="214">
      <c r="A214" s="14" t="inlineStr">
        <is>
          <t>2026-08-31</t>
        </is>
      </c>
      <c r="B214" s="14" t="inlineStr">
        <is>
          <t>Wk5  31 Aug–06 Sep</t>
        </is>
      </c>
      <c r="C214" s="14" t="inlineStr">
        <is>
          <t>Development</t>
        </is>
      </c>
      <c r="D214" s="14" t="inlineStr">
        <is>
          <t>Zain Malik</t>
        </is>
      </c>
      <c r="E214" s="14" t="inlineStr">
        <is>
          <t>Software Engineer II</t>
        </is>
      </c>
      <c r="F214" s="14" t="inlineStr">
        <is>
          <t>Cricket Sansar</t>
        </is>
      </c>
      <c r="G214" s="15" t="inlineStr">
        <is>
          <t>General Fixes</t>
        </is>
      </c>
      <c r="H214" s="15" t="inlineStr">
        <is>
          <t>Reviewing the product and fixing whatever is broken.</t>
        </is>
      </c>
      <c r="I214" s="14" t="inlineStr">
        <is>
          <t>todo</t>
        </is>
      </c>
      <c r="J214" s="9" t="n">
        <v>0.2951388888888889</v>
      </c>
      <c r="K214" s="9" t="n">
        <v>0</v>
      </c>
      <c r="L214" s="9">
        <f>J214+K214</f>
        <v/>
      </c>
      <c r="M214" s="9" t="n">
        <v>0.625</v>
      </c>
    </row>
    <row r="215">
      <c r="A215" s="14" t="inlineStr">
        <is>
          <t>2026-08-31</t>
        </is>
      </c>
      <c r="B215" s="14" t="inlineStr">
        <is>
          <t>Wk5  31 Aug–06 Sep</t>
        </is>
      </c>
      <c r="C215" s="14" t="inlineStr">
        <is>
          <t>Development</t>
        </is>
      </c>
      <c r="D215" s="14" t="inlineStr">
        <is>
          <t>Zain Malik</t>
        </is>
      </c>
      <c r="E215" s="14" t="inlineStr">
        <is>
          <t>Software Engineer II</t>
        </is>
      </c>
      <c r="F215" s="14" t="inlineStr">
        <is>
          <t>Cricket Sansar</t>
        </is>
      </c>
      <c r="G215" s="15" t="inlineStr">
        <is>
          <t>Lock Screen Activity</t>
        </is>
      </c>
      <c r="H215" s="15" t="inlineStr">
        <is>
          <t>Building a lock-screen feature for Android, iOS and web.</t>
        </is>
      </c>
      <c r="I215" s="14" t="inlineStr">
        <is>
          <t>approved</t>
        </is>
      </c>
      <c r="J215" s="9" t="n">
        <v>0.06944444444444445</v>
      </c>
      <c r="K215" s="9" t="n">
        <v>0</v>
      </c>
      <c r="L215" s="9">
        <f>J215+K215</f>
        <v/>
      </c>
      <c r="M215" s="9" t="n">
        <v>0</v>
      </c>
    </row>
    <row r="216">
      <c r="A216" s="14" t="inlineStr">
        <is>
          <t>2026-08-31</t>
        </is>
      </c>
      <c r="B216" s="14" t="inlineStr">
        <is>
          <t>Wk5  31 Aug–06 Sep</t>
        </is>
      </c>
      <c r="C216" s="14" t="inlineStr">
        <is>
          <t>Development</t>
        </is>
      </c>
      <c r="D216" s="14" t="inlineStr">
        <is>
          <t>Zain Malik</t>
        </is>
      </c>
      <c r="E216" s="14" t="inlineStr">
        <is>
          <t>Software Engineer II</t>
        </is>
      </c>
      <c r="F216" s="14" t="inlineStr">
        <is>
          <t>Cricket Sansar</t>
        </is>
      </c>
      <c r="G216" s="15" t="inlineStr">
        <is>
          <t>Sponsorship Bat Page UI</t>
        </is>
      </c>
      <c r="H216" s="15" t="inlineStr">
        <is>
          <t>Designing the sponsorship bat page for the web app.</t>
        </is>
      </c>
      <c r="I216" s="14" t="inlineStr">
        <is>
          <t>approved</t>
        </is>
      </c>
      <c r="J216" s="9" t="n">
        <v>0.1659722222222222</v>
      </c>
      <c r="K216" s="9" t="n">
        <v>0</v>
      </c>
      <c r="L216" s="9">
        <f>J216+K216</f>
        <v/>
      </c>
      <c r="M216" s="9" t="n">
        <v>0</v>
      </c>
    </row>
    <row r="217">
      <c r="A217" s="14" t="inlineStr">
        <is>
          <t>2026-08-31</t>
        </is>
      </c>
      <c r="B217" s="14" t="inlineStr">
        <is>
          <t>Wk5  31 Aug–06 Sep</t>
        </is>
      </c>
      <c r="C217" s="14" t="inlineStr">
        <is>
          <t>Development</t>
        </is>
      </c>
      <c r="D217" s="14" t="inlineStr">
        <is>
          <t>khizer hayat</t>
        </is>
      </c>
      <c r="E217" s="14" t="inlineStr">
        <is>
          <t>CMS Developer</t>
        </is>
      </c>
      <c r="F217" s="14" t="inlineStr">
        <is>
          <t>Neowall</t>
        </is>
      </c>
      <c r="G217" s="15" t="inlineStr">
        <is>
          <t>Apply the ammendments requested by client</t>
        </is>
      </c>
      <c r="H217" s="15" t="inlineStr">
        <is>
          <t>Applying the client's requested website amendments.</t>
        </is>
      </c>
      <c r="I217" s="14" t="inlineStr">
        <is>
          <t>completed</t>
        </is>
      </c>
      <c r="J217" s="9" t="n">
        <v>0</v>
      </c>
      <c r="K217" s="9" t="n">
        <v>0</v>
      </c>
      <c r="L217" s="9">
        <f>J217+K217</f>
        <v/>
      </c>
      <c r="M217" s="9" t="n">
        <v>0.3333333333333333</v>
      </c>
    </row>
    <row r="218">
      <c r="A218" s="14" t="inlineStr">
        <is>
          <t>2026-08-31</t>
        </is>
      </c>
      <c r="B218" s="14" t="inlineStr">
        <is>
          <t>Wk5  31 Aug–06 Sep</t>
        </is>
      </c>
      <c r="C218" s="14" t="inlineStr">
        <is>
          <t>Development</t>
        </is>
      </c>
      <c r="D218" s="14" t="inlineStr">
        <is>
          <t>khizer hayat</t>
        </is>
      </c>
      <c r="E218" s="14" t="inlineStr">
        <is>
          <t>CMS Developer</t>
        </is>
      </c>
      <c r="F218" s="14" t="inlineStr">
        <is>
          <t>Neowall</t>
        </is>
      </c>
      <c r="G218" s="15" t="inlineStr">
        <is>
          <t>List of Actions</t>
        </is>
      </c>
      <c r="H218" s="15" t="inlineStr">
        <is>
          <t>A list of small actions held as subtasks.</t>
        </is>
      </c>
      <c r="I218" s="14" t="inlineStr">
        <is>
          <t>blocked</t>
        </is>
      </c>
      <c r="J218" s="9" t="n">
        <v>0.02361111111111111</v>
      </c>
      <c r="K218" s="9" t="n">
        <v>0</v>
      </c>
      <c r="L218" s="9">
        <f>J218+K218</f>
        <v/>
      </c>
      <c r="M218" s="9" t="n">
        <v>0</v>
      </c>
    </row>
    <row r="219">
      <c r="A219" s="14" t="inlineStr">
        <is>
          <t>2026-08-31</t>
        </is>
      </c>
      <c r="B219" s="14" t="inlineStr">
        <is>
          <t>Wk5  31 Aug–06 Sep</t>
        </is>
      </c>
      <c r="C219" s="14" t="inlineStr">
        <is>
          <t>Development</t>
        </is>
      </c>
      <c r="D219" s="14" t="inlineStr">
        <is>
          <t>khizer hayat</t>
        </is>
      </c>
      <c r="E219" s="14" t="inlineStr">
        <is>
          <t>CMS Developer</t>
        </is>
      </c>
      <c r="F219" s="14" t="inlineStr">
        <is>
          <t>Neowall</t>
        </is>
      </c>
      <c r="G219" s="15" t="inlineStr">
        <is>
          <t>Please Make the following amendments to the website</t>
        </is>
      </c>
      <c r="H219" s="15" t="inlineStr">
        <is>
          <t>A client list of wording and label changes, incl. stock messaging.</t>
        </is>
      </c>
      <c r="I219" s="14" t="inlineStr">
        <is>
          <t>in_progress</t>
        </is>
      </c>
      <c r="J219" s="9" t="n">
        <v>0.3944444444444444</v>
      </c>
      <c r="K219" s="9" t="n">
        <v>0</v>
      </c>
      <c r="L219" s="9">
        <f>J219+K219</f>
        <v/>
      </c>
      <c r="M219" s="9" t="n">
        <v>0</v>
      </c>
    </row>
    <row r="220">
      <c r="A220" s="14" t="inlineStr">
        <is>
          <t>2026-08-31</t>
        </is>
      </c>
      <c r="B220" s="14" t="inlineStr">
        <is>
          <t>Wk5  31 Aug–06 Sep</t>
        </is>
      </c>
      <c r="C220" s="14" t="inlineStr">
        <is>
          <t>Development</t>
        </is>
      </c>
      <c r="D220" s="14" t="inlineStr">
        <is>
          <t>khizer hayat</t>
        </is>
      </c>
      <c r="E220" s="14" t="inlineStr">
        <is>
          <t>CMS Developer</t>
        </is>
      </c>
      <c r="F220" s="14" t="inlineStr">
        <is>
          <t>Capital Car Finance (CCF)</t>
        </is>
      </c>
      <c r="G220" s="15" t="inlineStr">
        <is>
          <t>Warranty Product Page for Web and Mobile</t>
        </is>
      </c>
      <c r="H220" s="15" t="inlineStr">
        <is>
          <t>Building the warranty product page from the Figma design.</t>
        </is>
      </c>
      <c r="I220" s="14" t="inlineStr">
        <is>
          <t>approved</t>
        </is>
      </c>
      <c r="J220" s="9" t="n">
        <v>0.04097222222222222</v>
      </c>
      <c r="K220" s="9" t="n">
        <v>0</v>
      </c>
      <c r="L220" s="9">
        <f>J220+K220</f>
        <v/>
      </c>
      <c r="M220" s="9" t="n">
        <v>0</v>
      </c>
    </row>
    <row r="221">
      <c r="A221" s="14" t="inlineStr">
        <is>
          <t>2026-08-31</t>
        </is>
      </c>
      <c r="B221" s="14" t="inlineStr">
        <is>
          <t>Wk5  31 Aug–06 Sep</t>
        </is>
      </c>
      <c r="C221" s="14" t="inlineStr">
        <is>
          <t>Development</t>
        </is>
      </c>
      <c r="D221" s="14" t="inlineStr">
        <is>
          <t>khizer hayat</t>
        </is>
      </c>
      <c r="E221" s="14" t="inlineStr">
        <is>
          <t>CMS Developer</t>
        </is>
      </c>
      <c r="F221" s="14" t="inlineStr">
        <is>
          <t>Neowall</t>
        </is>
      </c>
      <c r="G221" s="15" t="inlineStr">
        <is>
          <t>Website Fixes</t>
        </is>
      </c>
      <c r="H221" s="15" t="inlineStr">
        <is>
          <t>Fixing website issues listed in a shared Google Doc.</t>
        </is>
      </c>
      <c r="I221" s="14" t="inlineStr">
        <is>
          <t>approved</t>
        </is>
      </c>
      <c r="J221" s="9" t="n">
        <v>0.1006944444444444</v>
      </c>
      <c r="K221" s="9" t="n">
        <v>0</v>
      </c>
      <c r="L221" s="9">
        <f>J221+K221</f>
        <v/>
      </c>
      <c r="M221" s="9" t="n">
        <v>0</v>
      </c>
    </row>
    <row r="222">
      <c r="A222" s="14" t="inlineStr">
        <is>
          <t>2026-08-31</t>
        </is>
      </c>
      <c r="B222" s="14" t="inlineStr">
        <is>
          <t>Wk5  31 Aug–06 Sep</t>
        </is>
      </c>
      <c r="C222" s="14" t="inlineStr">
        <is>
          <t>Development</t>
        </is>
      </c>
      <c r="D222" s="14" t="inlineStr">
        <is>
          <t>khizer hayat</t>
        </is>
      </c>
      <c r="E222" s="14" t="inlineStr">
        <is>
          <t>CMS Developer</t>
        </is>
      </c>
      <c r="F222" s="14" t="inlineStr">
        <is>
          <t>Starr Luxury Cars</t>
        </is>
      </c>
      <c r="G222" s="15" t="inlineStr">
        <is>
          <t>Website Fixes</t>
        </is>
      </c>
      <c r="H222" s="15" t="inlineStr">
        <is>
          <t>Fixing website issues listed in a shared Google Doc.</t>
        </is>
      </c>
      <c r="I222" s="14" t="inlineStr">
        <is>
          <t>approved</t>
        </is>
      </c>
      <c r="J222" s="9" t="n">
        <v>0.05138888888888889</v>
      </c>
      <c r="K222" s="9" t="n">
        <v>0</v>
      </c>
      <c r="L222" s="9">
        <f>J222+K222</f>
        <v/>
      </c>
      <c r="M222" s="9" t="n">
        <v>0</v>
      </c>
    </row>
    <row r="223">
      <c r="A223" s="14" t="inlineStr">
        <is>
          <t>2026-09-07</t>
        </is>
      </c>
      <c r="B223" s="14" t="inlineStr">
        <is>
          <t>Wk6  07 Sep–13 Sep</t>
        </is>
      </c>
      <c r="C223" s="14" t="inlineStr">
        <is>
          <t>Development</t>
        </is>
      </c>
      <c r="D223" s="14" t="inlineStr">
        <is>
          <t>Abbas Khan</t>
        </is>
      </c>
      <c r="E223" s="14" t="inlineStr">
        <is>
          <t>CMS Developer and UI/UX Designer</t>
        </is>
      </c>
      <c r="F223" s="14" t="inlineStr">
        <is>
          <t>Greta Grove</t>
        </is>
      </c>
      <c r="G223" s="15" t="inlineStr">
        <is>
          <t>Develop Two Pending Pages</t>
        </is>
      </c>
      <c r="H223" s="15" t="inlineStr">
        <is>
          <t>Building the two website pages still outstanding.</t>
        </is>
      </c>
      <c r="I223" s="14" t="inlineStr">
        <is>
          <t>review</t>
        </is>
      </c>
      <c r="J223" s="9" t="n">
        <v>0.03472222222222222</v>
      </c>
      <c r="K223" s="9" t="n">
        <v>0</v>
      </c>
      <c r="L223" s="9">
        <f>J223+K223</f>
        <v/>
      </c>
      <c r="M223" s="9" t="n">
        <v>0</v>
      </c>
    </row>
    <row r="224">
      <c r="A224" s="14" t="inlineStr">
        <is>
          <t>2026-09-07</t>
        </is>
      </c>
      <c r="B224" s="14" t="inlineStr">
        <is>
          <t>Wk6  07 Sep–13 Sep</t>
        </is>
      </c>
      <c r="C224" s="14" t="inlineStr">
        <is>
          <t>Development</t>
        </is>
      </c>
      <c r="D224" s="14" t="inlineStr">
        <is>
          <t>Abbas Khan</t>
        </is>
      </c>
      <c r="E224" s="14" t="inlineStr">
        <is>
          <t>CMS Developer and UI/UX Designer</t>
        </is>
      </c>
      <c r="F224" s="14" t="inlineStr">
        <is>
          <t>Oasis Fertility</t>
        </is>
      </c>
      <c r="G224" s="15" t="inlineStr">
        <is>
          <t>Fix mobile responsiveness of a page</t>
        </is>
      </c>
      <c r="H224" s="15" t="inlineStr">
        <is>
          <t>Fixing a page that breaks on mobile.</t>
        </is>
      </c>
      <c r="I224" s="14" t="inlineStr">
        <is>
          <t>review</t>
        </is>
      </c>
      <c r="J224" s="9" t="n">
        <v>0.2798611111111111</v>
      </c>
      <c r="K224" s="9" t="n">
        <v>0</v>
      </c>
      <c r="L224" s="9">
        <f>J224+K224</f>
        <v/>
      </c>
      <c r="M224" s="9" t="n">
        <v>0.2013888888888889</v>
      </c>
    </row>
    <row r="225">
      <c r="A225" s="14" t="inlineStr">
        <is>
          <t>2026-09-07</t>
        </is>
      </c>
      <c r="B225" s="14" t="inlineStr">
        <is>
          <t>Wk6  07 Sep–13 Sep</t>
        </is>
      </c>
      <c r="C225" s="14" t="inlineStr">
        <is>
          <t>Development</t>
        </is>
      </c>
      <c r="D225" s="14" t="inlineStr">
        <is>
          <t>Abbas Khan</t>
        </is>
      </c>
      <c r="E225" s="14" t="inlineStr">
        <is>
          <t>CMS Developer and UI/UX Designer</t>
        </is>
      </c>
      <c r="F225" s="14" t="inlineStr">
        <is>
          <t>Greta Grove</t>
        </is>
      </c>
      <c r="G225" s="15" t="inlineStr">
        <is>
          <t>Greta Grovev Website Security Measures</t>
        </is>
      </c>
      <c r="H225" s="15" t="inlineStr">
        <is>
          <t>Securing the site after it was hacked again.</t>
        </is>
      </c>
      <c r="I225" s="14" t="inlineStr">
        <is>
          <t>completed</t>
        </is>
      </c>
      <c r="J225" s="9" t="n">
        <v>0.02986111111111111</v>
      </c>
      <c r="K225" s="9" t="n">
        <v>0</v>
      </c>
      <c r="L225" s="9">
        <f>J225+K225</f>
        <v/>
      </c>
      <c r="M225" s="9" t="n">
        <v>0.04861111111111111</v>
      </c>
    </row>
    <row r="226">
      <c r="A226" s="14" t="inlineStr">
        <is>
          <t>2026-09-07</t>
        </is>
      </c>
      <c r="B226" s="14" t="inlineStr">
        <is>
          <t>Wk6  07 Sep–13 Sep</t>
        </is>
      </c>
      <c r="C226" s="14" t="inlineStr">
        <is>
          <t>Development</t>
        </is>
      </c>
      <c r="D226" s="14" t="inlineStr">
        <is>
          <t>Abbas Khan</t>
        </is>
      </c>
      <c r="E226" s="14" t="inlineStr">
        <is>
          <t>CMS Developer and UI/UX Designer</t>
        </is>
      </c>
      <c r="F226" s="14" t="inlineStr">
        <is>
          <t>Learning</t>
        </is>
      </c>
      <c r="G226" s="15" t="inlineStr">
        <is>
          <t>Learn Webflow</t>
        </is>
      </c>
      <c r="H226" s="15" t="inlineStr">
        <is>
          <t>Training time: learning Webflow because our own site will be built on it.</t>
        </is>
      </c>
      <c r="I226" s="14" t="inlineStr">
        <is>
          <t>in_progress</t>
        </is>
      </c>
      <c r="J226" s="9" t="n">
        <v>0.07847222222222222</v>
      </c>
      <c r="K226" s="9" t="n">
        <v>0</v>
      </c>
      <c r="L226" s="9">
        <f>J226+K226</f>
        <v/>
      </c>
      <c r="M226" s="9" t="n">
        <v>0.1381944444444445</v>
      </c>
    </row>
    <row r="227">
      <c r="A227" s="14" t="inlineStr">
        <is>
          <t>2026-09-07</t>
        </is>
      </c>
      <c r="B227" s="14" t="inlineStr">
        <is>
          <t>Wk6  07 Sep–13 Sep</t>
        </is>
      </c>
      <c r="C227" s="14" t="inlineStr">
        <is>
          <t>Development</t>
        </is>
      </c>
      <c r="D227" s="14" t="inlineStr">
        <is>
          <t>Abbas Khan</t>
        </is>
      </c>
      <c r="E227" s="14" t="inlineStr">
        <is>
          <t>CMS Developer and UI/UX Designer</t>
        </is>
      </c>
      <c r="F227" s="14" t="inlineStr">
        <is>
          <t>Rise of Burges</t>
        </is>
      </c>
      <c r="G227" s="15" t="inlineStr">
        <is>
          <t>New Pop up</t>
        </is>
      </c>
      <c r="H227" s="15" t="inlineStr">
        <is>
          <t>A buy-ticket popup covering the different locations.</t>
        </is>
      </c>
      <c r="I227" s="14" t="inlineStr">
        <is>
          <t>approved</t>
        </is>
      </c>
      <c r="J227" s="9" t="n">
        <v>0.04583333333333333</v>
      </c>
      <c r="K227" s="9" t="n">
        <v>0</v>
      </c>
      <c r="L227" s="9">
        <f>J227+K227</f>
        <v/>
      </c>
      <c r="M227" s="9" t="n">
        <v>0.04583333333333333</v>
      </c>
    </row>
    <row r="228">
      <c r="A228" s="14" t="inlineStr">
        <is>
          <t>2026-09-07</t>
        </is>
      </c>
      <c r="B228" s="14" t="inlineStr">
        <is>
          <t>Wk6  07 Sep–13 Sep</t>
        </is>
      </c>
      <c r="C228" s="14" t="inlineStr">
        <is>
          <t>Development</t>
        </is>
      </c>
      <c r="D228" s="14" t="inlineStr">
        <is>
          <t>Abbas Khan</t>
        </is>
      </c>
      <c r="E228" s="14" t="inlineStr">
        <is>
          <t>CMS Developer and UI/UX Designer</t>
        </is>
      </c>
      <c r="F228" s="14" t="inlineStr">
        <is>
          <t>Oasis Fertility</t>
        </is>
      </c>
      <c r="G228" s="15" t="inlineStr">
        <is>
          <t>Website Fixes</t>
        </is>
      </c>
      <c r="H228" s="15" t="inlineStr">
        <is>
          <t>Fixing website issues listed in a shared Google Doc.</t>
        </is>
      </c>
      <c r="I228" s="14" t="inlineStr">
        <is>
          <t>review</t>
        </is>
      </c>
      <c r="J228" s="9" t="n">
        <v>0.04375</v>
      </c>
      <c r="K228" s="9" t="n">
        <v>0</v>
      </c>
      <c r="L228" s="9">
        <f>J228+K228</f>
        <v/>
      </c>
      <c r="M228" s="9" t="n">
        <v>0.02430555555555556</v>
      </c>
    </row>
    <row r="229">
      <c r="A229" s="14" t="inlineStr">
        <is>
          <t>2026-09-07</t>
        </is>
      </c>
      <c r="B229" s="14" t="inlineStr">
        <is>
          <t>Wk6  07 Sep–13 Sep</t>
        </is>
      </c>
      <c r="C229" s="14" t="inlineStr">
        <is>
          <t>Development</t>
        </is>
      </c>
      <c r="D229" s="14" t="inlineStr">
        <is>
          <t>Abbas Khan</t>
        </is>
      </c>
      <c r="E229" s="14" t="inlineStr">
        <is>
          <t>CMS Developer and UI/UX Designer</t>
        </is>
      </c>
      <c r="F229" s="14" t="inlineStr">
        <is>
          <t>Titan Forge</t>
        </is>
      </c>
      <c r="G229" s="15" t="inlineStr">
        <is>
          <t>Website Fixes</t>
        </is>
      </c>
      <c r="H229" s="15" t="inlineStr">
        <is>
          <t>Fixing website issues listed in a shared Google Doc.</t>
        </is>
      </c>
      <c r="I229" s="14" t="inlineStr">
        <is>
          <t>approved</t>
        </is>
      </c>
      <c r="J229" s="9" t="n">
        <v>0.07222222222222222</v>
      </c>
      <c r="K229" s="9" t="n">
        <v>0</v>
      </c>
      <c r="L229" s="9">
        <f>J229+K229</f>
        <v/>
      </c>
      <c r="M229" s="9" t="n">
        <v>0.04166666666666666</v>
      </c>
    </row>
    <row r="230">
      <c r="A230" s="14" t="inlineStr">
        <is>
          <t>2026-09-07</t>
        </is>
      </c>
      <c r="B230" s="14" t="inlineStr">
        <is>
          <t>Wk6  07 Sep–13 Sep</t>
        </is>
      </c>
      <c r="C230" s="14" t="inlineStr">
        <is>
          <t>Development</t>
        </is>
      </c>
      <c r="D230" s="14" t="inlineStr">
        <is>
          <t>Muhammad Yahya</t>
        </is>
      </c>
      <c r="E230" s="14" t="inlineStr">
        <is>
          <t>Software Engineer I</t>
        </is>
      </c>
      <c r="F230" s="14" t="inlineStr">
        <is>
          <t>Learning</t>
        </is>
      </c>
      <c r="G230" s="15" t="inlineStr">
        <is>
          <t>Elementor</t>
        </is>
      </c>
      <c r="H230" s="15" t="inlineStr">
        <is>
          <t>Training time: learning the Elementor page builder.</t>
        </is>
      </c>
      <c r="I230" s="14" t="inlineStr">
        <is>
          <t>in_progress</t>
        </is>
      </c>
      <c r="J230" s="9" t="n">
        <v>0.4173611111111111</v>
      </c>
      <c r="K230" s="9" t="n">
        <v>0</v>
      </c>
      <c r="L230" s="9">
        <f>J230+K230</f>
        <v/>
      </c>
      <c r="M230" s="9" t="n">
        <v>0.14375</v>
      </c>
    </row>
    <row r="231">
      <c r="A231" s="14" t="inlineStr">
        <is>
          <t>2026-09-07</t>
        </is>
      </c>
      <c r="B231" s="14" t="inlineStr">
        <is>
          <t>Wk6  07 Sep–13 Sep</t>
        </is>
      </c>
      <c r="C231" s="14" t="inlineStr">
        <is>
          <t>Development</t>
        </is>
      </c>
      <c r="D231" s="14" t="inlineStr">
        <is>
          <t>Muhammad Yahya</t>
        </is>
      </c>
      <c r="E231" s="14" t="inlineStr">
        <is>
          <t>Software Engineer I</t>
        </is>
      </c>
      <c r="F231" s="14" t="inlineStr">
        <is>
          <t>Cricket Sansar</t>
        </is>
      </c>
      <c r="G231" s="15" t="inlineStr">
        <is>
          <t>Mobile App Testing</t>
        </is>
      </c>
      <c r="H231" s="15" t="inlineStr">
        <is>
          <t>Testing the mobile app.</t>
        </is>
      </c>
      <c r="I231" s="14" t="inlineStr">
        <is>
          <t>approved</t>
        </is>
      </c>
      <c r="J231" s="9" t="n">
        <v>0.1506944444444444</v>
      </c>
      <c r="K231" s="9" t="n">
        <v>0.04166666666666666</v>
      </c>
      <c r="L231" s="9">
        <f>J231+K231</f>
        <v/>
      </c>
      <c r="M231" s="9" t="n">
        <v>0.1923611111111111</v>
      </c>
    </row>
    <row r="232">
      <c r="A232" s="14" t="inlineStr">
        <is>
          <t>2026-09-07</t>
        </is>
      </c>
      <c r="B232" s="14" t="inlineStr">
        <is>
          <t>Wk6  07 Sep–13 Sep</t>
        </is>
      </c>
      <c r="C232" s="14" t="inlineStr">
        <is>
          <t>Development</t>
        </is>
      </c>
      <c r="D232" s="14" t="inlineStr">
        <is>
          <t>Muhammad Yahya</t>
        </is>
      </c>
      <c r="E232" s="14" t="inlineStr">
        <is>
          <t>Software Engineer I</t>
        </is>
      </c>
      <c r="F232" s="14" t="inlineStr">
        <is>
          <t>Cricket Sansar</t>
        </is>
      </c>
      <c r="G232" s="15" t="inlineStr">
        <is>
          <t>New Fixes &amp; Improvements</t>
        </is>
      </c>
      <c r="H232" s="15" t="inlineStr">
        <is>
          <t>A batch of bug fixes and small improvements, listed as subtasks.</t>
        </is>
      </c>
      <c r="I232" s="14" t="inlineStr">
        <is>
          <t>approved</t>
        </is>
      </c>
      <c r="J232" s="9" t="n">
        <v>0.4854166666666667</v>
      </c>
      <c r="K232" s="9" t="n">
        <v>0</v>
      </c>
      <c r="L232" s="9">
        <f>J232+K232</f>
        <v/>
      </c>
      <c r="M232" s="9" t="n">
        <v>0.5590277777777778</v>
      </c>
    </row>
    <row r="233">
      <c r="A233" s="14" t="inlineStr">
        <is>
          <t>2026-09-07</t>
        </is>
      </c>
      <c r="B233" s="14" t="inlineStr">
        <is>
          <t>Wk6  07 Sep–13 Sep</t>
        </is>
      </c>
      <c r="C233" s="14" t="inlineStr">
        <is>
          <t>Development</t>
        </is>
      </c>
      <c r="D233" s="14" t="inlineStr">
        <is>
          <t>Muhammad Yahya</t>
        </is>
      </c>
      <c r="E233" s="14" t="inlineStr">
        <is>
          <t>Software Engineer I</t>
        </is>
      </c>
      <c r="F233" s="14" t="inlineStr">
        <is>
          <t>Capital Car Finance (CCF)</t>
        </is>
      </c>
      <c r="G233" s="15" t="inlineStr">
        <is>
          <t>Warranty Product Page for Web and Mobile</t>
        </is>
      </c>
      <c r="H233" s="15" t="inlineStr">
        <is>
          <t>Building the warranty product page from the Figma design.</t>
        </is>
      </c>
      <c r="I233" s="14" t="inlineStr">
        <is>
          <t>approved</t>
        </is>
      </c>
      <c r="J233" s="9" t="n">
        <v>0.3409722222222222</v>
      </c>
      <c r="K233" s="9" t="n">
        <v>0</v>
      </c>
      <c r="L233" s="9">
        <f>J233+K233</f>
        <v/>
      </c>
      <c r="M233" s="9" t="n">
        <v>0.3923611111111111</v>
      </c>
    </row>
    <row r="234">
      <c r="A234" s="14" t="inlineStr">
        <is>
          <t>2026-09-07</t>
        </is>
      </c>
      <c r="B234" s="14" t="inlineStr">
        <is>
          <t>Wk6  07 Sep–13 Sep</t>
        </is>
      </c>
      <c r="C234" s="14" t="inlineStr">
        <is>
          <t>Development</t>
        </is>
      </c>
      <c r="D234" s="14" t="inlineStr">
        <is>
          <t>Sajawal Khan</t>
        </is>
      </c>
      <c r="E234" s="14" t="inlineStr">
        <is>
          <t>Web Content Specialist</t>
        </is>
      </c>
      <c r="F234" s="14" t="inlineStr">
        <is>
          <t>Learning</t>
        </is>
      </c>
      <c r="G234" s="15" t="inlineStr">
        <is>
          <t>Calude Code Course</t>
        </is>
      </c>
      <c r="H234" s="15" t="inlineStr">
        <is>
          <t>Training: completing a Claude Code course and writing up the findings.</t>
        </is>
      </c>
      <c r="I234" s="14" t="inlineStr">
        <is>
          <t>approved</t>
        </is>
      </c>
      <c r="J234" s="9" t="n">
        <v>0.4590277777777778</v>
      </c>
      <c r="K234" s="9" t="n">
        <v>0.1597222222222222</v>
      </c>
      <c r="L234" s="9">
        <f>J234+K234</f>
        <v/>
      </c>
      <c r="M234" s="9" t="n">
        <v>0.6666666666666666</v>
      </c>
    </row>
    <row r="235">
      <c r="A235" s="14" t="inlineStr">
        <is>
          <t>2026-09-07</t>
        </is>
      </c>
      <c r="B235" s="14" t="inlineStr">
        <is>
          <t>Wk6  07 Sep–13 Sep</t>
        </is>
      </c>
      <c r="C235" s="14" t="inlineStr">
        <is>
          <t>Development</t>
        </is>
      </c>
      <c r="D235" s="14" t="inlineStr">
        <is>
          <t>Sajawal Khan</t>
        </is>
      </c>
      <c r="E235" s="14" t="inlineStr">
        <is>
          <t>Web Content Specialist</t>
        </is>
      </c>
      <c r="F235" s="14" t="inlineStr">
        <is>
          <t>Builders Trade Depot</t>
        </is>
      </c>
      <c r="G235" s="15" t="inlineStr">
        <is>
          <t>New Product Upload (Nuie &amp; BTL)</t>
        </is>
      </c>
      <c r="H235" s="15" t="inlineStr">
        <is>
          <t>Bulk-uploading products from a CSV for two brands.</t>
        </is>
      </c>
      <c r="I235" s="14" t="inlineStr">
        <is>
          <t>in_progress</t>
        </is>
      </c>
      <c r="J235" s="9" t="n">
        <v>0.7638888888888888</v>
      </c>
      <c r="K235" s="9" t="n">
        <v>0.1736111111111111</v>
      </c>
      <c r="L235" s="9">
        <f>J235+K235</f>
        <v/>
      </c>
      <c r="M235" s="9" t="n">
        <v>1</v>
      </c>
    </row>
    <row r="236">
      <c r="A236" s="14" t="inlineStr">
        <is>
          <t>2026-09-07</t>
        </is>
      </c>
      <c r="B236" s="14" t="inlineStr">
        <is>
          <t>Wk6  07 Sep–13 Sep</t>
        </is>
      </c>
      <c r="C236" s="14" t="inlineStr">
        <is>
          <t>Development</t>
        </is>
      </c>
      <c r="D236" s="14" t="inlineStr">
        <is>
          <t>Zain Malik</t>
        </is>
      </c>
      <c r="E236" s="14" t="inlineStr">
        <is>
          <t>Software Engineer II</t>
        </is>
      </c>
      <c r="F236" s="14" t="inlineStr">
        <is>
          <t>Cricket Sansar</t>
        </is>
      </c>
      <c r="G236" s="15" t="inlineStr">
        <is>
          <t>General Fixes</t>
        </is>
      </c>
      <c r="H236" s="15" t="inlineStr">
        <is>
          <t>Reviewing the product and fixing whatever is broken.</t>
        </is>
      </c>
      <c r="I236" s="14" t="inlineStr">
        <is>
          <t>todo</t>
        </is>
      </c>
      <c r="J236" s="9" t="n">
        <v>0.3076388888888889</v>
      </c>
      <c r="K236" s="9" t="n">
        <v>0.03472222222222222</v>
      </c>
      <c r="L236" s="9">
        <f>J236+K236</f>
        <v/>
      </c>
      <c r="M236" s="9" t="n">
        <v>0.3333333333333333</v>
      </c>
    </row>
    <row r="237">
      <c r="A237" s="14" t="inlineStr">
        <is>
          <t>2026-09-07</t>
        </is>
      </c>
      <c r="B237" s="14" t="inlineStr">
        <is>
          <t>Wk6  07 Sep–13 Sep</t>
        </is>
      </c>
      <c r="C237" s="14" t="inlineStr">
        <is>
          <t>Development</t>
        </is>
      </c>
      <c r="D237" s="14" t="inlineStr">
        <is>
          <t>Zain Malik</t>
        </is>
      </c>
      <c r="E237" s="14" t="inlineStr">
        <is>
          <t>Software Engineer II</t>
        </is>
      </c>
      <c r="F237" s="14" t="inlineStr">
        <is>
          <t>Cricket Sansar</t>
        </is>
      </c>
      <c r="G237" s="15" t="inlineStr">
        <is>
          <t>Mobile App Testing</t>
        </is>
      </c>
      <c r="H237" s="15" t="inlineStr">
        <is>
          <t>Testing the mobile app.</t>
        </is>
      </c>
      <c r="I237" s="14" t="inlineStr">
        <is>
          <t>approved</t>
        </is>
      </c>
      <c r="J237" s="9" t="n">
        <v>0.1555555555555556</v>
      </c>
      <c r="K237" s="9" t="n">
        <v>0</v>
      </c>
      <c r="L237" s="9">
        <f>J237+K237</f>
        <v/>
      </c>
      <c r="M237" s="9" t="n">
        <v>0</v>
      </c>
    </row>
    <row r="238">
      <c r="A238" s="14" t="inlineStr">
        <is>
          <t>2026-09-07</t>
        </is>
      </c>
      <c r="B238" s="14" t="inlineStr">
        <is>
          <t>Wk6  07 Sep–13 Sep</t>
        </is>
      </c>
      <c r="C238" s="14" t="inlineStr">
        <is>
          <t>Development</t>
        </is>
      </c>
      <c r="D238" s="14" t="inlineStr">
        <is>
          <t>Zain Malik</t>
        </is>
      </c>
      <c r="E238" s="14" t="inlineStr">
        <is>
          <t>Software Engineer II</t>
        </is>
      </c>
      <c r="F238" s="14" t="inlineStr">
        <is>
          <t>Cricket Sansar</t>
        </is>
      </c>
      <c r="G238" s="15" t="inlineStr">
        <is>
          <t>New Fixes &amp; Improvements</t>
        </is>
      </c>
      <c r="H238" s="15" t="inlineStr">
        <is>
          <t>A batch of bug fixes and small improvements, listed as subtasks.</t>
        </is>
      </c>
      <c r="I238" s="14" t="inlineStr">
        <is>
          <t>approved</t>
        </is>
      </c>
      <c r="J238" s="9" t="n">
        <v>0.7486111111111111</v>
      </c>
      <c r="K238" s="9" t="n">
        <v>0.04166666666666666</v>
      </c>
      <c r="L238" s="9">
        <f>J238+K238</f>
        <v/>
      </c>
      <c r="M238" s="9" t="n">
        <v>1</v>
      </c>
    </row>
    <row r="239">
      <c r="A239" s="14" t="inlineStr">
        <is>
          <t>2026-09-07</t>
        </is>
      </c>
      <c r="B239" s="14" t="inlineStr">
        <is>
          <t>Wk6  07 Sep–13 Sep</t>
        </is>
      </c>
      <c r="C239" s="14" t="inlineStr">
        <is>
          <t>Development</t>
        </is>
      </c>
      <c r="D239" s="14" t="inlineStr">
        <is>
          <t>Zain Malik</t>
        </is>
      </c>
      <c r="E239" s="14" t="inlineStr">
        <is>
          <t>Software Engineer II</t>
        </is>
      </c>
      <c r="F239" s="14" t="inlineStr">
        <is>
          <t>Shifa</t>
        </is>
      </c>
      <c r="G239" s="15" t="inlineStr">
        <is>
          <t>Web App Deployement</t>
        </is>
      </c>
      <c r="H239" s="15" t="inlineStr">
        <is>
          <t>Deploying the Shifa web app.</t>
        </is>
      </c>
      <c r="I239" s="14" t="inlineStr">
        <is>
          <t>todo</t>
        </is>
      </c>
      <c r="J239" s="9" t="n">
        <v>0</v>
      </c>
      <c r="K239" s="9" t="n">
        <v>0.3333333333333333</v>
      </c>
      <c r="L239" s="9">
        <f>J239+K239</f>
        <v/>
      </c>
      <c r="M239" s="9" t="n">
        <v>0.3333333333333333</v>
      </c>
    </row>
    <row r="240">
      <c r="A240" s="14" t="inlineStr">
        <is>
          <t>2026-09-07</t>
        </is>
      </c>
      <c r="B240" s="14" t="inlineStr">
        <is>
          <t>Wk6  07 Sep–13 Sep</t>
        </is>
      </c>
      <c r="C240" s="14" t="inlineStr">
        <is>
          <t>Development</t>
        </is>
      </c>
      <c r="D240" s="14" t="inlineStr">
        <is>
          <t>khizer hayat</t>
        </is>
      </c>
      <c r="E240" s="14" t="inlineStr">
        <is>
          <t>CMS Developer</t>
        </is>
      </c>
      <c r="F240" s="14" t="inlineStr">
        <is>
          <t>Starr Luxury Cars</t>
        </is>
      </c>
      <c r="G240" s="15" t="inlineStr">
        <is>
          <t>Make new fixes</t>
        </is>
      </c>
      <c r="H240" s="15" t="inlineStr">
        <is>
          <t>Fixing the enquiry email and a 404 when selecting a car.</t>
        </is>
      </c>
      <c r="I240" s="14" t="inlineStr">
        <is>
          <t>completed</t>
        </is>
      </c>
      <c r="J240" s="9" t="n">
        <v>0.03055555555555555</v>
      </c>
      <c r="K240" s="9" t="n">
        <v>0</v>
      </c>
      <c r="L240" s="9">
        <f>J240+K240</f>
        <v/>
      </c>
      <c r="M240" s="9" t="n">
        <v>0</v>
      </c>
    </row>
    <row r="241">
      <c r="A241" s="14" t="inlineStr">
        <is>
          <t>2026-09-07</t>
        </is>
      </c>
      <c r="B241" s="14" t="inlineStr">
        <is>
          <t>Wk6  07 Sep–13 Sep</t>
        </is>
      </c>
      <c r="C241" s="14" t="inlineStr">
        <is>
          <t>Development</t>
        </is>
      </c>
      <c r="D241" s="14" t="inlineStr">
        <is>
          <t>khizer hayat</t>
        </is>
      </c>
      <c r="E241" s="14" t="inlineStr">
        <is>
          <t>CMS Developer</t>
        </is>
      </c>
      <c r="F241" s="14" t="inlineStr">
        <is>
          <t>Neowall</t>
        </is>
      </c>
      <c r="G241" s="15" t="inlineStr">
        <is>
          <t>Please Make the following amendments to the website</t>
        </is>
      </c>
      <c r="H241" s="15" t="inlineStr">
        <is>
          <t>A client list of wording and label changes, incl. stock messaging.</t>
        </is>
      </c>
      <c r="I241" s="14" t="inlineStr">
        <is>
          <t>in_progress</t>
        </is>
      </c>
      <c r="J241" s="9" t="n">
        <v>0.3208333333333334</v>
      </c>
      <c r="K241" s="9" t="n">
        <v>0</v>
      </c>
      <c r="L241" s="9">
        <f>J241+K241</f>
        <v/>
      </c>
      <c r="M241" s="9" t="n">
        <v>0</v>
      </c>
    </row>
    <row r="242">
      <c r="A242" s="14" t="inlineStr">
        <is>
          <t>2026-09-07</t>
        </is>
      </c>
      <c r="B242" s="14" t="inlineStr">
        <is>
          <t>Wk6  07 Sep–13 Sep</t>
        </is>
      </c>
      <c r="C242" s="14" t="inlineStr">
        <is>
          <t>Development</t>
        </is>
      </c>
      <c r="D242" s="14" t="inlineStr">
        <is>
          <t>khizer hayat</t>
        </is>
      </c>
      <c r="E242" s="14" t="inlineStr">
        <is>
          <t>CMS Developer</t>
        </is>
      </c>
      <c r="F242" s="14" t="inlineStr">
        <is>
          <t>Capital Car Finance (CCF)</t>
        </is>
      </c>
      <c r="G242" s="15" t="inlineStr">
        <is>
          <t>Warranty Product Page for Web and Mobile</t>
        </is>
      </c>
      <c r="H242" s="15" t="inlineStr">
        <is>
          <t>Building the warranty product page from the Figma design.</t>
        </is>
      </c>
      <c r="I242" s="14" t="inlineStr">
        <is>
          <t>approved</t>
        </is>
      </c>
      <c r="J242" s="9" t="n">
        <v>0.4215277777777778</v>
      </c>
      <c r="K242" s="9" t="n">
        <v>0</v>
      </c>
      <c r="L242" s="9">
        <f>J242+K242</f>
        <v/>
      </c>
      <c r="M242" s="9" t="n">
        <v>0</v>
      </c>
    </row>
    <row r="243">
      <c r="A243" s="14" t="inlineStr">
        <is>
          <t>2026-09-14</t>
        </is>
      </c>
      <c r="B243" s="14" t="inlineStr">
        <is>
          <t>Wk7  14 Sep–20 Sep</t>
        </is>
      </c>
      <c r="C243" s="14" t="inlineStr">
        <is>
          <t>Development</t>
        </is>
      </c>
      <c r="D243" s="14" t="inlineStr">
        <is>
          <t>Abbas Khan</t>
        </is>
      </c>
      <c r="E243" s="14" t="inlineStr">
        <is>
          <t>CMS Developer and UI/UX Designer</t>
        </is>
      </c>
      <c r="F243" s="14" t="inlineStr">
        <is>
          <t>Titan Forge</t>
        </is>
      </c>
      <c r="G243" s="15" t="inlineStr">
        <is>
          <t>Develop the new website design</t>
        </is>
      </c>
      <c r="H243" s="15" t="inlineStr">
        <is>
          <t>Turning the approved new design into a working site.</t>
        </is>
      </c>
      <c r="I243" s="14" t="inlineStr">
        <is>
          <t>in_progress</t>
        </is>
      </c>
      <c r="J243" s="9" t="n">
        <v>0.5694444444444444</v>
      </c>
      <c r="K243" s="9" t="n">
        <v>0</v>
      </c>
      <c r="L243" s="9">
        <f>J243+K243</f>
        <v/>
      </c>
      <c r="M243" s="9" t="n">
        <v>0.4895833333333333</v>
      </c>
    </row>
    <row r="244">
      <c r="A244" s="14" t="inlineStr">
        <is>
          <t>2026-09-14</t>
        </is>
      </c>
      <c r="B244" s="14" t="inlineStr">
        <is>
          <t>Wk7  14 Sep–20 Sep</t>
        </is>
      </c>
      <c r="C244" s="14" t="inlineStr">
        <is>
          <t>Development</t>
        </is>
      </c>
      <c r="D244" s="14" t="inlineStr">
        <is>
          <t>Abbas Khan</t>
        </is>
      </c>
      <c r="E244" s="14" t="inlineStr">
        <is>
          <t>CMS Developer and UI/UX Designer</t>
        </is>
      </c>
      <c r="F244" s="14" t="inlineStr">
        <is>
          <t>Learning</t>
        </is>
      </c>
      <c r="G244" s="15" t="inlineStr">
        <is>
          <t>Learn Webflow</t>
        </is>
      </c>
      <c r="H244" s="15" t="inlineStr">
        <is>
          <t>Training time: learning Webflow because our own site will be built on it.</t>
        </is>
      </c>
      <c r="I244" s="14" t="inlineStr">
        <is>
          <t>in_progress</t>
        </is>
      </c>
      <c r="J244" s="9" t="n">
        <v>0.05138888888888889</v>
      </c>
      <c r="K244" s="9" t="n">
        <v>0</v>
      </c>
      <c r="L244" s="9">
        <f>J244+K244</f>
        <v/>
      </c>
      <c r="M244" s="9" t="n">
        <v>0.05138888888888889</v>
      </c>
    </row>
    <row r="245">
      <c r="A245" s="14" t="inlineStr">
        <is>
          <t>2026-09-14</t>
        </is>
      </c>
      <c r="B245" s="14" t="inlineStr">
        <is>
          <t>Wk7  14 Sep–20 Sep</t>
        </is>
      </c>
      <c r="C245" s="14" t="inlineStr">
        <is>
          <t>Development</t>
        </is>
      </c>
      <c r="D245" s="14" t="inlineStr">
        <is>
          <t>Abbas Khan</t>
        </is>
      </c>
      <c r="E245" s="14" t="inlineStr">
        <is>
          <t>CMS Developer and UI/UX Designer</t>
        </is>
      </c>
      <c r="F245" s="14" t="inlineStr">
        <is>
          <t>Rise of Burges</t>
        </is>
      </c>
      <c r="G245" s="15" t="inlineStr">
        <is>
          <t>New Pop up</t>
        </is>
      </c>
      <c r="H245" s="15" t="inlineStr">
        <is>
          <t>A buy-ticket popup covering the different locations.</t>
        </is>
      </c>
      <c r="I245" s="14" t="inlineStr">
        <is>
          <t>approved</t>
        </is>
      </c>
      <c r="J245" s="9" t="n">
        <v>0.1145833333333333</v>
      </c>
      <c r="K245" s="9" t="n">
        <v>0</v>
      </c>
      <c r="L245" s="9">
        <f>J245+K245</f>
        <v/>
      </c>
      <c r="M245" s="9" t="n">
        <v>0.15625</v>
      </c>
    </row>
    <row r="246">
      <c r="A246" s="14" t="inlineStr">
        <is>
          <t>2026-09-14</t>
        </is>
      </c>
      <c r="B246" s="14" t="inlineStr">
        <is>
          <t>Wk7  14 Sep–20 Sep</t>
        </is>
      </c>
      <c r="C246" s="14" t="inlineStr">
        <is>
          <t>Development</t>
        </is>
      </c>
      <c r="D246" s="14" t="inlineStr">
        <is>
          <t>Abbas Khan</t>
        </is>
      </c>
      <c r="E246" s="14" t="inlineStr">
        <is>
          <t>CMS Developer and UI/UX Designer</t>
        </is>
      </c>
      <c r="F246" s="14" t="inlineStr">
        <is>
          <t>Oasis Fertility</t>
        </is>
      </c>
      <c r="G246" s="15" t="inlineStr">
        <is>
          <t>Website Fixes</t>
        </is>
      </c>
      <c r="H246" s="15" t="inlineStr">
        <is>
          <t>Fixing website issues listed in a shared Google Doc.</t>
        </is>
      </c>
      <c r="I246" s="14" t="inlineStr">
        <is>
          <t>review</t>
        </is>
      </c>
      <c r="J246" s="9" t="n">
        <v>0.01736111111111111</v>
      </c>
      <c r="K246" s="9" t="n">
        <v>0</v>
      </c>
      <c r="L246" s="9">
        <f>J246+K246</f>
        <v/>
      </c>
      <c r="M246" s="9" t="n">
        <v>0.02083333333333333</v>
      </c>
    </row>
    <row r="247">
      <c r="A247" s="14" t="inlineStr">
        <is>
          <t>2026-09-14</t>
        </is>
      </c>
      <c r="B247" s="14" t="inlineStr">
        <is>
          <t>Wk7  14 Sep–20 Sep</t>
        </is>
      </c>
      <c r="C247" s="14" t="inlineStr">
        <is>
          <t>Development</t>
        </is>
      </c>
      <c r="D247" s="14" t="inlineStr">
        <is>
          <t>Muhammad Yahya</t>
        </is>
      </c>
      <c r="E247" s="14" t="inlineStr">
        <is>
          <t>Software Engineer I</t>
        </is>
      </c>
      <c r="F247" s="14" t="inlineStr">
        <is>
          <t>Titan Forge</t>
        </is>
      </c>
      <c r="G247" s="15" t="inlineStr">
        <is>
          <t>Can we update the prices for the below products</t>
        </is>
      </c>
      <c r="H247" s="15" t="inlineStr">
        <is>
          <t>Updating prices for a list of product variants.</t>
        </is>
      </c>
      <c r="I247" s="14" t="inlineStr">
        <is>
          <t>approved</t>
        </is>
      </c>
      <c r="J247" s="9" t="n">
        <v>0.03611111111111111</v>
      </c>
      <c r="K247" s="9" t="n">
        <v>0</v>
      </c>
      <c r="L247" s="9">
        <f>J247+K247</f>
        <v/>
      </c>
      <c r="M247" s="9" t="n">
        <v>0.04166666666666666</v>
      </c>
    </row>
    <row r="248">
      <c r="A248" s="14" t="inlineStr">
        <is>
          <t>2026-09-14</t>
        </is>
      </c>
      <c r="B248" s="14" t="inlineStr">
        <is>
          <t>Wk7  14 Sep–20 Sep</t>
        </is>
      </c>
      <c r="C248" s="14" t="inlineStr">
        <is>
          <t>Development</t>
        </is>
      </c>
      <c r="D248" s="14" t="inlineStr">
        <is>
          <t>Muhammad Yahya</t>
        </is>
      </c>
      <c r="E248" s="14" t="inlineStr">
        <is>
          <t>Software Engineer I</t>
        </is>
      </c>
      <c r="F248" s="14" t="inlineStr">
        <is>
          <t>Learning</t>
        </is>
      </c>
      <c r="G248" s="15" t="inlineStr">
        <is>
          <t>Elementor</t>
        </is>
      </c>
      <c r="H248" s="15" t="inlineStr">
        <is>
          <t>Training time: learning the Elementor page builder.</t>
        </is>
      </c>
      <c r="I248" s="14" t="inlineStr">
        <is>
          <t>in_progress</t>
        </is>
      </c>
      <c r="J248" s="9" t="n">
        <v>0</v>
      </c>
      <c r="K248" s="9" t="n">
        <v>0</v>
      </c>
      <c r="L248" s="9">
        <f>J248+K248</f>
        <v/>
      </c>
      <c r="M248" s="9" t="n">
        <v>0.0375</v>
      </c>
    </row>
    <row r="249">
      <c r="A249" s="14" t="inlineStr">
        <is>
          <t>2026-09-14</t>
        </is>
      </c>
      <c r="B249" s="14" t="inlineStr">
        <is>
          <t>Wk7  14 Sep–20 Sep</t>
        </is>
      </c>
      <c r="C249" s="14" t="inlineStr">
        <is>
          <t>Development</t>
        </is>
      </c>
      <c r="D249" s="14" t="inlineStr">
        <is>
          <t>Muhammad Yahya</t>
        </is>
      </c>
      <c r="E249" s="14" t="inlineStr">
        <is>
          <t>Software Engineer I</t>
        </is>
      </c>
      <c r="F249" s="14" t="inlineStr">
        <is>
          <t>Starr Luxury Cars</t>
        </is>
      </c>
      <c r="G249" s="15" t="inlineStr">
        <is>
          <t>Fix Enquire button</t>
        </is>
      </c>
      <c r="H249" s="15" t="inlineStr">
        <is>
          <t>Linking the Enquire button to the contact form.</t>
        </is>
      </c>
      <c r="I249" s="14" t="inlineStr">
        <is>
          <t>approved</t>
        </is>
      </c>
      <c r="J249" s="9" t="n">
        <v>0.02013888888888889</v>
      </c>
      <c r="K249" s="9" t="n">
        <v>0</v>
      </c>
      <c r="L249" s="9">
        <f>J249+K249</f>
        <v/>
      </c>
      <c r="M249" s="9" t="n">
        <v>0.02013888888888889</v>
      </c>
    </row>
    <row r="250">
      <c r="A250" s="14" t="inlineStr">
        <is>
          <t>2026-09-14</t>
        </is>
      </c>
      <c r="B250" s="14" t="inlineStr">
        <is>
          <t>Wk7  14 Sep–20 Sep</t>
        </is>
      </c>
      <c r="C250" s="14" t="inlineStr">
        <is>
          <t>Development</t>
        </is>
      </c>
      <c r="D250" s="14" t="inlineStr">
        <is>
          <t>Muhammad Yahya</t>
        </is>
      </c>
      <c r="E250" s="14" t="inlineStr">
        <is>
          <t>Software Engineer I</t>
        </is>
      </c>
      <c r="F250" s="14" t="inlineStr">
        <is>
          <t>Cricket Sansar</t>
        </is>
      </c>
      <c r="G250" s="15" t="inlineStr">
        <is>
          <t>New Fixes &amp; Improvements</t>
        </is>
      </c>
      <c r="H250" s="15" t="inlineStr">
        <is>
          <t>A batch of bug fixes and small improvements, listed as subtasks.</t>
        </is>
      </c>
      <c r="I250" s="14" t="inlineStr">
        <is>
          <t>approved</t>
        </is>
      </c>
      <c r="J250" s="9" t="n">
        <v>0.3472222222222222</v>
      </c>
      <c r="K250" s="9" t="n">
        <v>0</v>
      </c>
      <c r="L250" s="9">
        <f>J250+K250</f>
        <v/>
      </c>
      <c r="M250" s="9" t="n">
        <v>0.3472222222222222</v>
      </c>
    </row>
    <row r="251">
      <c r="A251" s="14" t="inlineStr">
        <is>
          <t>2026-09-14</t>
        </is>
      </c>
      <c r="B251" s="14" t="inlineStr">
        <is>
          <t>Wk7  14 Sep–20 Sep</t>
        </is>
      </c>
      <c r="C251" s="14" t="inlineStr">
        <is>
          <t>Development</t>
        </is>
      </c>
      <c r="D251" s="14" t="inlineStr">
        <is>
          <t>Muhammad Yahya</t>
        </is>
      </c>
      <c r="E251" s="14" t="inlineStr">
        <is>
          <t>Software Engineer I</t>
        </is>
      </c>
      <c r="F251" s="14" t="inlineStr">
        <is>
          <t>Roia</t>
        </is>
      </c>
      <c r="G251" s="15" t="inlineStr">
        <is>
          <t>Website Fixes</t>
        </is>
      </c>
      <c r="H251" s="15" t="inlineStr">
        <is>
          <t>Fixing website issues listed in a shared Google Doc.</t>
        </is>
      </c>
      <c r="I251" s="14" t="inlineStr">
        <is>
          <t>in_progress</t>
        </is>
      </c>
      <c r="J251" s="9" t="n">
        <v>0.5013888888888889</v>
      </c>
      <c r="K251" s="9" t="n">
        <v>0</v>
      </c>
      <c r="L251" s="9">
        <f>J251+K251</f>
        <v/>
      </c>
      <c r="M251" s="9" t="n">
        <v>0.4819444444444445</v>
      </c>
    </row>
    <row r="252">
      <c r="A252" s="14" t="inlineStr">
        <is>
          <t>2026-09-14</t>
        </is>
      </c>
      <c r="B252" s="14" t="inlineStr">
        <is>
          <t>Wk7  14 Sep–20 Sep</t>
        </is>
      </c>
      <c r="C252" s="14" t="inlineStr">
        <is>
          <t>Development</t>
        </is>
      </c>
      <c r="D252" s="14" t="inlineStr">
        <is>
          <t>Sajawal Khan</t>
        </is>
      </c>
      <c r="E252" s="14" t="inlineStr">
        <is>
          <t>Web Content Specialist</t>
        </is>
      </c>
      <c r="F252" s="14" t="inlineStr">
        <is>
          <t>Learning</t>
        </is>
      </c>
      <c r="G252" s="15" t="inlineStr">
        <is>
          <t>Calude Code Course</t>
        </is>
      </c>
      <c r="H252" s="15" t="inlineStr">
        <is>
          <t>Training: completing a Claude Code course and writing up the findings.</t>
        </is>
      </c>
      <c r="I252" s="14" t="inlineStr">
        <is>
          <t>approved</t>
        </is>
      </c>
      <c r="J252" s="9" t="n">
        <v>0.04513888888888889</v>
      </c>
      <c r="K252" s="9" t="n">
        <v>0</v>
      </c>
      <c r="L252" s="9">
        <f>J252+K252</f>
        <v/>
      </c>
      <c r="M252" s="9" t="n">
        <v>0</v>
      </c>
    </row>
    <row r="253">
      <c r="A253" s="14" t="inlineStr">
        <is>
          <t>2026-09-14</t>
        </is>
      </c>
      <c r="B253" s="14" t="inlineStr">
        <is>
          <t>Wk7  14 Sep–20 Sep</t>
        </is>
      </c>
      <c r="C253" s="14" t="inlineStr">
        <is>
          <t>Development</t>
        </is>
      </c>
      <c r="D253" s="14" t="inlineStr">
        <is>
          <t>Sajawal Khan</t>
        </is>
      </c>
      <c r="E253" s="14" t="inlineStr">
        <is>
          <t>Web Content Specialist</t>
        </is>
      </c>
      <c r="F253" s="14" t="inlineStr">
        <is>
          <t>Titan Forge</t>
        </is>
      </c>
      <c r="G253" s="15" t="inlineStr">
        <is>
          <t>Can we update the prices for the below products</t>
        </is>
      </c>
      <c r="H253" s="15" t="inlineStr">
        <is>
          <t>Updating prices for a list of product variants.</t>
        </is>
      </c>
      <c r="I253" s="14" t="inlineStr">
        <is>
          <t>approved</t>
        </is>
      </c>
      <c r="J253" s="9" t="n">
        <v>0</v>
      </c>
      <c r="K253" s="9" t="n">
        <v>0.02083333333333333</v>
      </c>
      <c r="L253" s="9">
        <f>J253+K253</f>
        <v/>
      </c>
      <c r="M253" s="9" t="n">
        <v>0</v>
      </c>
    </row>
    <row r="254">
      <c r="A254" s="14" t="inlineStr">
        <is>
          <t>2026-09-14</t>
        </is>
      </c>
      <c r="B254" s="14" t="inlineStr">
        <is>
          <t>Wk7  14 Sep–20 Sep</t>
        </is>
      </c>
      <c r="C254" s="14" t="inlineStr">
        <is>
          <t>Development</t>
        </is>
      </c>
      <c r="D254" s="14" t="inlineStr">
        <is>
          <t>Sajawal Khan</t>
        </is>
      </c>
      <c r="E254" s="14" t="inlineStr">
        <is>
          <t>Web Content Specialist</t>
        </is>
      </c>
      <c r="F254" s="14" t="inlineStr">
        <is>
          <t>Linknbit</t>
        </is>
      </c>
      <c r="G254" s="15" t="inlineStr">
        <is>
          <t>Home Page Testing</t>
        </is>
      </c>
      <c r="H254" s="15" t="inlineStr">
        <is>
          <t>Testing the homepage and documenting the findings.</t>
        </is>
      </c>
      <c r="I254" s="14" t="inlineStr">
        <is>
          <t>todo</t>
        </is>
      </c>
      <c r="J254" s="9" t="n">
        <v>0</v>
      </c>
      <c r="K254" s="9" t="n">
        <v>0.04166666666666666</v>
      </c>
      <c r="L254" s="9">
        <f>J254+K254</f>
        <v/>
      </c>
      <c r="M254" s="9" t="n">
        <v>0</v>
      </c>
    </row>
    <row r="255">
      <c r="A255" s="14" t="inlineStr">
        <is>
          <t>2026-09-14</t>
        </is>
      </c>
      <c r="B255" s="14" t="inlineStr">
        <is>
          <t>Wk7  14 Sep–20 Sep</t>
        </is>
      </c>
      <c r="C255" s="14" t="inlineStr">
        <is>
          <t>Development</t>
        </is>
      </c>
      <c r="D255" s="14" t="inlineStr">
        <is>
          <t>Sajawal Khan</t>
        </is>
      </c>
      <c r="E255" s="14" t="inlineStr">
        <is>
          <t>Web Content Specialist</t>
        </is>
      </c>
      <c r="F255" s="14" t="inlineStr">
        <is>
          <t>Builders Trade Depot</t>
        </is>
      </c>
      <c r="G255" s="15" t="inlineStr">
        <is>
          <t>New Product Upload (Nuie &amp; BTL)</t>
        </is>
      </c>
      <c r="H255" s="15" t="inlineStr">
        <is>
          <t>Bulk-uploading products from a CSV for two brands.</t>
        </is>
      </c>
      <c r="I255" s="14" t="inlineStr">
        <is>
          <t>in_progress</t>
        </is>
      </c>
      <c r="J255" s="9" t="n">
        <v>0.3611111111111111</v>
      </c>
      <c r="K255" s="9" t="n">
        <v>0</v>
      </c>
      <c r="L255" s="9">
        <f>J255+K255</f>
        <v/>
      </c>
      <c r="M255" s="9" t="n">
        <v>0.3333333333333333</v>
      </c>
    </row>
    <row r="256">
      <c r="A256" s="14" t="inlineStr">
        <is>
          <t>2026-09-14</t>
        </is>
      </c>
      <c r="B256" s="14" t="inlineStr">
        <is>
          <t>Wk7  14 Sep–20 Sep</t>
        </is>
      </c>
      <c r="C256" s="14" t="inlineStr">
        <is>
          <t>Development</t>
        </is>
      </c>
      <c r="D256" s="14" t="inlineStr">
        <is>
          <t>Sajawal Khan</t>
        </is>
      </c>
      <c r="E256" s="14" t="inlineStr">
        <is>
          <t>Web Content Specialist</t>
        </is>
      </c>
      <c r="F256" s="14" t="inlineStr">
        <is>
          <t>Titan Forge</t>
        </is>
      </c>
      <c r="G256" s="15" t="inlineStr">
        <is>
          <t>Upload Content to the website</t>
        </is>
      </c>
      <c r="H256" s="15" t="inlineStr">
        <is>
          <t>Uploading copy for three product categories.</t>
        </is>
      </c>
      <c r="I256" s="14" t="inlineStr">
        <is>
          <t>review</t>
        </is>
      </c>
      <c r="J256" s="9" t="n">
        <v>0.03680555555555556</v>
      </c>
      <c r="K256" s="9" t="n">
        <v>0.01041666666666667</v>
      </c>
      <c r="L256" s="9">
        <f>J256+K256</f>
        <v/>
      </c>
      <c r="M256" s="9" t="n">
        <v>0</v>
      </c>
    </row>
    <row r="257">
      <c r="A257" s="14" t="inlineStr">
        <is>
          <t>2026-09-14</t>
        </is>
      </c>
      <c r="B257" s="14" t="inlineStr">
        <is>
          <t>Wk7  14 Sep–20 Sep</t>
        </is>
      </c>
      <c r="C257" s="14" t="inlineStr">
        <is>
          <t>Development</t>
        </is>
      </c>
      <c r="D257" s="14" t="inlineStr">
        <is>
          <t>Sajawal Khan</t>
        </is>
      </c>
      <c r="E257" s="14" t="inlineStr">
        <is>
          <t>Web Content Specialist</t>
        </is>
      </c>
      <c r="F257" s="14" t="inlineStr">
        <is>
          <t>Capital Car Finance (CCF)</t>
        </is>
      </c>
      <c r="G257" s="15" t="inlineStr">
        <is>
          <t>Webite Fixes</t>
        </is>
      </c>
      <c r="H257" s="15" t="inlineStr">
        <is>
          <t>Fixing forms, image sizes and layout boxes on the warranty pages.</t>
        </is>
      </c>
      <c r="I257" s="14" t="inlineStr">
        <is>
          <t>review</t>
        </is>
      </c>
      <c r="J257" s="9" t="n">
        <v>0.07430555555555556</v>
      </c>
      <c r="K257" s="9" t="n">
        <v>0</v>
      </c>
      <c r="L257" s="9">
        <f>J257+K257</f>
        <v/>
      </c>
      <c r="M257" s="9" t="n">
        <v>0</v>
      </c>
    </row>
    <row r="258">
      <c r="A258" s="14" t="inlineStr">
        <is>
          <t>2026-09-14</t>
        </is>
      </c>
      <c r="B258" s="14" t="inlineStr">
        <is>
          <t>Wk7  14 Sep–20 Sep</t>
        </is>
      </c>
      <c r="C258" s="14" t="inlineStr">
        <is>
          <t>Development</t>
        </is>
      </c>
      <c r="D258" s="14" t="inlineStr">
        <is>
          <t>Sajawal Khan</t>
        </is>
      </c>
      <c r="E258" s="14" t="inlineStr">
        <is>
          <t>Web Content Specialist</t>
        </is>
      </c>
      <c r="F258" s="14" t="inlineStr">
        <is>
          <t>Roia</t>
        </is>
      </c>
      <c r="G258" s="15" t="inlineStr">
        <is>
          <t>Website Testing</t>
        </is>
      </c>
      <c r="H258" s="15" t="inlineStr">
        <is>
          <t>Testing the site against the client's requirements.</t>
        </is>
      </c>
      <c r="I258" s="14" t="inlineStr">
        <is>
          <t>in_progress</t>
        </is>
      </c>
      <c r="J258" s="9" t="n">
        <v>0.1493055555555556</v>
      </c>
      <c r="K258" s="9" t="n">
        <v>0.04166666666666666</v>
      </c>
      <c r="L258" s="9">
        <f>J258+K258</f>
        <v/>
      </c>
      <c r="M258" s="9" t="n">
        <v>0</v>
      </c>
    </row>
    <row r="259">
      <c r="A259" s="14" t="inlineStr">
        <is>
          <t>2026-09-14</t>
        </is>
      </c>
      <c r="B259" s="14" t="inlineStr">
        <is>
          <t>Wk7  14 Sep–20 Sep</t>
        </is>
      </c>
      <c r="C259" s="14" t="inlineStr">
        <is>
          <t>Development</t>
        </is>
      </c>
      <c r="D259" s="14" t="inlineStr">
        <is>
          <t>Zain Malik</t>
        </is>
      </c>
      <c r="E259" s="14" t="inlineStr">
        <is>
          <t>Software Engineer II</t>
        </is>
      </c>
      <c r="F259" s="14" t="inlineStr">
        <is>
          <t>Shifa</t>
        </is>
      </c>
      <c r="G259" s="15" t="inlineStr">
        <is>
          <t>Complete the project</t>
        </is>
      </c>
      <c r="H259" s="15" t="inlineStr">
        <is>
          <t>Finishing off the remaining Shifa project work.</t>
        </is>
      </c>
      <c r="I259" s="14" t="inlineStr">
        <is>
          <t>todo</t>
        </is>
      </c>
      <c r="J259" s="9" t="n">
        <v>0.3347222222222222</v>
      </c>
      <c r="K259" s="9" t="n">
        <v>0</v>
      </c>
      <c r="L259" s="9">
        <f>J259+K259</f>
        <v/>
      </c>
      <c r="M259" s="9" t="n">
        <v>0.1666666666666667</v>
      </c>
    </row>
    <row r="260">
      <c r="A260" s="14" t="inlineStr">
        <is>
          <t>2026-09-14</t>
        </is>
      </c>
      <c r="B260" s="14" t="inlineStr">
        <is>
          <t>Wk7  14 Sep–20 Sep</t>
        </is>
      </c>
      <c r="C260" s="14" t="inlineStr">
        <is>
          <t>Development</t>
        </is>
      </c>
      <c r="D260" s="14" t="inlineStr">
        <is>
          <t>Zain Malik</t>
        </is>
      </c>
      <c r="E260" s="14" t="inlineStr">
        <is>
          <t>Software Engineer II</t>
        </is>
      </c>
      <c r="F260" s="14" t="inlineStr">
        <is>
          <t>Cricket Sansar</t>
        </is>
      </c>
      <c r="G260" s="15" t="inlineStr">
        <is>
          <t>General Fixes</t>
        </is>
      </c>
      <c r="H260" s="15" t="inlineStr">
        <is>
          <t>Reviewing the product and fixing whatever is broken.</t>
        </is>
      </c>
      <c r="I260" s="14" t="inlineStr">
        <is>
          <t>todo</t>
        </is>
      </c>
      <c r="J260" s="9" t="n">
        <v>0.1715277777777778</v>
      </c>
      <c r="K260" s="9" t="n">
        <v>0.04166666666666666</v>
      </c>
      <c r="L260" s="9">
        <f>J260+K260</f>
        <v/>
      </c>
      <c r="M260" s="9" t="n">
        <v>0</v>
      </c>
    </row>
    <row r="261">
      <c r="A261" s="14" t="inlineStr">
        <is>
          <t>2026-09-14</t>
        </is>
      </c>
      <c r="B261" s="14" t="inlineStr">
        <is>
          <t>Wk7  14 Sep–20 Sep</t>
        </is>
      </c>
      <c r="C261" s="14" t="inlineStr">
        <is>
          <t>Development</t>
        </is>
      </c>
      <c r="D261" s="14" t="inlineStr">
        <is>
          <t>Zain Malik</t>
        </is>
      </c>
      <c r="E261" s="14" t="inlineStr">
        <is>
          <t>Software Engineer II</t>
        </is>
      </c>
      <c r="F261" s="14" t="inlineStr">
        <is>
          <t>Cricket Sansar</t>
        </is>
      </c>
      <c r="G261" s="15" t="inlineStr">
        <is>
          <t>NPL section</t>
        </is>
      </c>
      <c r="H261" s="15" t="inlineStr">
        <is>
          <t>Building the NPL section of the app.</t>
        </is>
      </c>
      <c r="I261" s="14" t="inlineStr">
        <is>
          <t>in_progress</t>
        </is>
      </c>
      <c r="J261" s="9" t="n">
        <v>0.3756944444444444</v>
      </c>
      <c r="K261" s="9" t="n">
        <v>0</v>
      </c>
      <c r="L261" s="9">
        <f>J261+K261</f>
        <v/>
      </c>
      <c r="M261" s="9" t="n">
        <v>0.1666666666666667</v>
      </c>
    </row>
    <row r="262">
      <c r="A262" s="14" t="inlineStr">
        <is>
          <t>2026-09-14</t>
        </is>
      </c>
      <c r="B262" s="14" t="inlineStr">
        <is>
          <t>Wk7  14 Sep–20 Sep</t>
        </is>
      </c>
      <c r="C262" s="14" t="inlineStr">
        <is>
          <t>Development</t>
        </is>
      </c>
      <c r="D262" s="14" t="inlineStr">
        <is>
          <t>Zain Malik</t>
        </is>
      </c>
      <c r="E262" s="14" t="inlineStr">
        <is>
          <t>Software Engineer II</t>
        </is>
      </c>
      <c r="F262" s="14" t="inlineStr">
        <is>
          <t>Cricket Sansar</t>
        </is>
      </c>
      <c r="G262" s="15" t="inlineStr">
        <is>
          <t>New Fixes &amp; Improvements</t>
        </is>
      </c>
      <c r="H262" s="15" t="inlineStr">
        <is>
          <t>A batch of bug fixes and small improvements, listed as subtasks.</t>
        </is>
      </c>
      <c r="I262" s="14" t="inlineStr">
        <is>
          <t>approved</t>
        </is>
      </c>
      <c r="J262" s="9" t="n">
        <v>0.1048611111111111</v>
      </c>
      <c r="K262" s="9" t="n">
        <v>0</v>
      </c>
      <c r="L262" s="9">
        <f>J262+K262</f>
        <v/>
      </c>
      <c r="M262" s="9" t="n">
        <v>0.5</v>
      </c>
    </row>
    <row r="263">
      <c r="A263" s="14" t="inlineStr">
        <is>
          <t>2026-09-14</t>
        </is>
      </c>
      <c r="B263" s="14" t="inlineStr">
        <is>
          <t>Wk7  14 Sep–20 Sep</t>
        </is>
      </c>
      <c r="C263" s="14" t="inlineStr">
        <is>
          <t>Development</t>
        </is>
      </c>
      <c r="D263" s="14" t="inlineStr">
        <is>
          <t>Zain Malik</t>
        </is>
      </c>
      <c r="E263" s="14" t="inlineStr">
        <is>
          <t>Software Engineer II</t>
        </is>
      </c>
      <c r="F263" s="14" t="inlineStr">
        <is>
          <t>Linknbit Portal</t>
        </is>
      </c>
      <c r="G263" s="15" t="inlineStr">
        <is>
          <t>Portal Fixes</t>
        </is>
      </c>
      <c r="H263" s="15" t="inlineStr">
        <is>
          <t>Portal bug fixes: task document uploads and project creation issues.</t>
        </is>
      </c>
      <c r="I263" s="14" t="inlineStr">
        <is>
          <t>approved</t>
        </is>
      </c>
      <c r="J263" s="9" t="n">
        <v>0</v>
      </c>
      <c r="K263" s="9" t="n">
        <v>0.1215277777777778</v>
      </c>
      <c r="L263" s="9">
        <f>J263+K263</f>
        <v/>
      </c>
      <c r="M263" s="9" t="n">
        <v>0</v>
      </c>
    </row>
    <row r="264">
      <c r="A264" s="14" t="inlineStr">
        <is>
          <t>2026-09-14</t>
        </is>
      </c>
      <c r="B264" s="14" t="inlineStr">
        <is>
          <t>Wk7  14 Sep–20 Sep</t>
        </is>
      </c>
      <c r="C264" s="14" t="inlineStr">
        <is>
          <t>Development</t>
        </is>
      </c>
      <c r="D264" s="14" t="inlineStr">
        <is>
          <t>Zain Malik</t>
        </is>
      </c>
      <c r="E264" s="14" t="inlineStr">
        <is>
          <t>Software Engineer II</t>
        </is>
      </c>
      <c r="F264" s="14" t="inlineStr">
        <is>
          <t>Linknbit Portal</t>
        </is>
      </c>
      <c r="G264" s="15" t="inlineStr">
        <is>
          <t>chat message delete</t>
        </is>
      </c>
      <c r="H264" s="15" t="inlineStr">
        <is>
          <t>Portal feature: deleting chat messages.</t>
        </is>
      </c>
      <c r="I264" s="14" t="inlineStr">
        <is>
          <t>completed</t>
        </is>
      </c>
      <c r="J264" s="9" t="n">
        <v>0</v>
      </c>
      <c r="K264" s="9" t="n">
        <v>0</v>
      </c>
      <c r="L264" s="9">
        <f>J264+K264</f>
        <v/>
      </c>
      <c r="M264" s="9" t="n">
        <v>0.1666666666666667</v>
      </c>
    </row>
    <row r="265">
      <c r="A265" s="14" t="inlineStr">
        <is>
          <t>2026-09-14</t>
        </is>
      </c>
      <c r="B265" s="14" t="inlineStr">
        <is>
          <t>Wk7  14 Sep–20 Sep</t>
        </is>
      </c>
      <c r="C265" s="14" t="inlineStr">
        <is>
          <t>Development</t>
        </is>
      </c>
      <c r="D265" s="14" t="inlineStr">
        <is>
          <t>khizer hayat</t>
        </is>
      </c>
      <c r="E265" s="14" t="inlineStr">
        <is>
          <t>CMS Developer</t>
        </is>
      </c>
      <c r="F265" s="14" t="inlineStr">
        <is>
          <t>Starr Luxury Cars</t>
        </is>
      </c>
      <c r="G265" s="15" t="inlineStr">
        <is>
          <t>Creation of Dodge ball rally page</t>
        </is>
      </c>
      <c r="H265" s="15" t="inlineStr">
        <is>
          <t>Building the Dodgeball Rally page.</t>
        </is>
      </c>
      <c r="I265" s="14" t="inlineStr">
        <is>
          <t>approved</t>
        </is>
      </c>
      <c r="J265" s="9" t="n">
        <v>0</v>
      </c>
      <c r="K265" s="9" t="n">
        <v>0</v>
      </c>
      <c r="L265" s="9">
        <f>J265+K265</f>
        <v/>
      </c>
      <c r="M265" s="9" t="n">
        <v>0.02083333333333333</v>
      </c>
    </row>
    <row r="266">
      <c r="A266" s="14" t="inlineStr">
        <is>
          <t>2026-09-14</t>
        </is>
      </c>
      <c r="B266" s="14" t="inlineStr">
        <is>
          <t>Wk7  14 Sep–20 Sep</t>
        </is>
      </c>
      <c r="C266" s="14" t="inlineStr">
        <is>
          <t>Development</t>
        </is>
      </c>
      <c r="D266" s="14" t="inlineStr">
        <is>
          <t>khizer hayat</t>
        </is>
      </c>
      <c r="E266" s="14" t="inlineStr">
        <is>
          <t>CMS Developer</t>
        </is>
      </c>
      <c r="F266" s="14" t="inlineStr">
        <is>
          <t>Starr Luxury Cars</t>
        </is>
      </c>
      <c r="G266" s="15" t="inlineStr">
        <is>
          <t>Starr Luxury cars new section for images in dodgeball rally page</t>
        </is>
      </c>
      <c r="H266" s="15" t="inlineStr">
        <is>
          <t>Adding an image section to the Dodgeball Rally page.</t>
        </is>
      </c>
      <c r="I266" s="14" t="inlineStr">
        <is>
          <t>in_progress</t>
        </is>
      </c>
      <c r="J266" s="9" t="n">
        <v>0.1263888888888889</v>
      </c>
      <c r="K266" s="9" t="n">
        <v>0</v>
      </c>
      <c r="L266" s="9">
        <f>J266+K266</f>
        <v/>
      </c>
      <c r="M266" s="9" t="n">
        <v>0</v>
      </c>
    </row>
    <row r="267">
      <c r="A267" s="14" t="inlineStr">
        <is>
          <t>2026-09-14</t>
        </is>
      </c>
      <c r="B267" s="14" t="inlineStr">
        <is>
          <t>Wk7  14 Sep–20 Sep</t>
        </is>
      </c>
      <c r="C267" s="14" t="inlineStr">
        <is>
          <t>Development</t>
        </is>
      </c>
      <c r="D267" s="14" t="inlineStr">
        <is>
          <t>khizer hayat</t>
        </is>
      </c>
      <c r="E267" s="14" t="inlineStr">
        <is>
          <t>CMS Developer</t>
        </is>
      </c>
      <c r="F267" s="14" t="inlineStr">
        <is>
          <t>Capital Car Finance (CCF)</t>
        </is>
      </c>
      <c r="G267" s="15" t="inlineStr">
        <is>
          <t>Webite Fixes</t>
        </is>
      </c>
      <c r="H267" s="15" t="inlineStr">
        <is>
          <t>Fixing forms, image sizes and layout boxes on the warranty pages.</t>
        </is>
      </c>
      <c r="I267" s="14" t="inlineStr">
        <is>
          <t>review</t>
        </is>
      </c>
      <c r="J267" s="9" t="n">
        <v>0.08680555555555555</v>
      </c>
      <c r="K267" s="9" t="n">
        <v>0</v>
      </c>
      <c r="L267" s="9">
        <f>J267+K267</f>
        <v/>
      </c>
      <c r="M267" s="9" t="n">
        <v>0.08333333333333333</v>
      </c>
    </row>
    <row r="268">
      <c r="A268" s="14" t="inlineStr">
        <is>
          <t>2026-09-14</t>
        </is>
      </c>
      <c r="B268" s="14" t="inlineStr">
        <is>
          <t>Wk7  14 Sep–20 Sep</t>
        </is>
      </c>
      <c r="C268" s="14" t="inlineStr">
        <is>
          <t>Development</t>
        </is>
      </c>
      <c r="D268" s="14" t="inlineStr">
        <is>
          <t>khizer hayat</t>
        </is>
      </c>
      <c r="E268" s="14" t="inlineStr">
        <is>
          <t>CMS Developer</t>
        </is>
      </c>
      <c r="F268" s="14" t="inlineStr">
        <is>
          <t>Roia</t>
        </is>
      </c>
      <c r="G268" s="15" t="inlineStr">
        <is>
          <t>Website Fixes</t>
        </is>
      </c>
      <c r="H268" s="15" t="inlineStr">
        <is>
          <t>Fixing website issues listed in a shared Google Doc.</t>
        </is>
      </c>
      <c r="I268" s="14" t="inlineStr">
        <is>
          <t>in_progress</t>
        </is>
      </c>
      <c r="J268" s="9" t="n">
        <v>0.41875</v>
      </c>
      <c r="K268" s="9" t="n">
        <v>0</v>
      </c>
      <c r="L268" s="9">
        <f>J268+K268</f>
        <v/>
      </c>
      <c r="M268" s="9" t="n">
        <v>0.5625</v>
      </c>
    </row>
    <row r="269">
      <c r="A269" s="14" t="inlineStr">
        <is>
          <t>2026-08-10</t>
        </is>
      </c>
      <c r="B269" s="14" t="inlineStr">
        <is>
          <t>Wk2  10 Aug–16 Aug</t>
        </is>
      </c>
      <c r="C269" s="14" t="inlineStr">
        <is>
          <t>Marketing</t>
        </is>
      </c>
      <c r="D269" s="14" t="inlineStr">
        <is>
          <t>Atta Ul Mustafa Saad</t>
        </is>
      </c>
      <c r="E269" s="14" t="inlineStr">
        <is>
          <t>UI/UX Designer</t>
        </is>
      </c>
      <c r="F269" s="14" t="inlineStr">
        <is>
          <t>Linknbit</t>
        </is>
      </c>
      <c r="G269" s="15" t="inlineStr">
        <is>
          <t>Independance Day Post Creation</t>
        </is>
      </c>
      <c r="H269" s="15" t="inlineStr">
        <is>
          <t>Independence Day posts using the event content.</t>
        </is>
      </c>
      <c r="I269" s="14" t="inlineStr">
        <is>
          <t>completed</t>
        </is>
      </c>
      <c r="J269" s="9" t="n">
        <v>0</v>
      </c>
      <c r="K269" s="9" t="n">
        <v>0</v>
      </c>
      <c r="L269" s="9">
        <f>J269+K269</f>
        <v/>
      </c>
      <c r="M269" s="9" t="n">
        <v>0.2083333333333333</v>
      </c>
    </row>
    <row r="270">
      <c r="A270" s="14" t="inlineStr">
        <is>
          <t>2026-08-10</t>
        </is>
      </c>
      <c r="B270" s="14" t="inlineStr">
        <is>
          <t>Wk2  10 Aug–16 Aug</t>
        </is>
      </c>
      <c r="C270" s="14" t="inlineStr">
        <is>
          <t>Marketing</t>
        </is>
      </c>
      <c r="D270" s="14" t="inlineStr">
        <is>
          <t>Atta Ul Mustafa Saad</t>
        </is>
      </c>
      <c r="E270" s="14" t="inlineStr">
        <is>
          <t>UI/UX Designer</t>
        </is>
      </c>
      <c r="F270" s="14" t="inlineStr">
        <is>
          <t>Neowall</t>
        </is>
      </c>
      <c r="G270" s="15" t="inlineStr">
        <is>
          <t>New Creatives for Ads for next month</t>
        </is>
      </c>
      <c r="H270" s="15" t="inlineStr">
        <is>
          <t>Next month's ad creatives.</t>
        </is>
      </c>
      <c r="I270" s="14" t="inlineStr">
        <is>
          <t>completed</t>
        </is>
      </c>
      <c r="J270" s="9" t="n">
        <v>0</v>
      </c>
      <c r="K270" s="9" t="n">
        <v>0</v>
      </c>
      <c r="L270" s="9">
        <f>J270+K270</f>
        <v/>
      </c>
      <c r="M270" s="9" t="n">
        <v>0.375</v>
      </c>
    </row>
    <row r="271">
      <c r="A271" s="14" t="inlineStr">
        <is>
          <t>2026-08-10</t>
        </is>
      </c>
      <c r="B271" s="14" t="inlineStr">
        <is>
          <t>Wk2  10 Aug–16 Aug</t>
        </is>
      </c>
      <c r="C271" s="14" t="inlineStr">
        <is>
          <t>Marketing</t>
        </is>
      </c>
      <c r="D271" s="14" t="inlineStr">
        <is>
          <t>Atta Ul Mustafa Saad</t>
        </is>
      </c>
      <c r="E271" s="14" t="inlineStr">
        <is>
          <t>UI/UX Designer</t>
        </is>
      </c>
      <c r="F271" s="14" t="inlineStr">
        <is>
          <t>Titan Forge</t>
        </is>
      </c>
      <c r="G271" s="15" t="inlineStr">
        <is>
          <t>Social Media Design</t>
        </is>
      </c>
      <c r="H271" s="15" t="inlineStr">
        <is>
          <t>Profile and cover images for Facebook and Instagram.</t>
        </is>
      </c>
      <c r="I271" s="14" t="inlineStr">
        <is>
          <t>completed</t>
        </is>
      </c>
      <c r="J271" s="9" t="n">
        <v>0</v>
      </c>
      <c r="K271" s="9" t="n">
        <v>0</v>
      </c>
      <c r="L271" s="9">
        <f>J271+K271</f>
        <v/>
      </c>
      <c r="M271" s="9" t="n">
        <v>0.1666666666666667</v>
      </c>
    </row>
    <row r="272">
      <c r="A272" s="14" t="inlineStr">
        <is>
          <t>2026-08-10</t>
        </is>
      </c>
      <c r="B272" s="14" t="inlineStr">
        <is>
          <t>Wk2  10 Aug–16 Aug</t>
        </is>
      </c>
      <c r="C272" s="14" t="inlineStr">
        <is>
          <t>Marketing</t>
        </is>
      </c>
      <c r="D272" s="14" t="inlineStr">
        <is>
          <t>Yasir birlas</t>
        </is>
      </c>
      <c r="E272" s="14" t="inlineStr">
        <is>
          <t>Digital Marketing Executive</t>
        </is>
      </c>
      <c r="F272" s="14" t="inlineStr">
        <is>
          <t>Neowall</t>
        </is>
      </c>
      <c r="G272" s="15" t="inlineStr">
        <is>
          <t>Email Flows Design</t>
        </is>
      </c>
      <c r="H272" s="15" t="inlineStr">
        <is>
          <t>Designing automated marketing email sequences.</t>
        </is>
      </c>
      <c r="I272" s="14" t="inlineStr">
        <is>
          <t>completed</t>
        </is>
      </c>
      <c r="J272" s="9" t="n">
        <v>0</v>
      </c>
      <c r="K272" s="9" t="n">
        <v>0</v>
      </c>
      <c r="L272" s="9">
        <f>J272+K272</f>
        <v/>
      </c>
      <c r="M272" s="9" t="n">
        <v>0.1041666666666667</v>
      </c>
    </row>
    <row r="273">
      <c r="A273" s="14" t="inlineStr">
        <is>
          <t>2026-08-17</t>
        </is>
      </c>
      <c r="B273" s="14" t="inlineStr">
        <is>
          <t>Wk3  17 Aug–23 Aug</t>
        </is>
      </c>
      <c r="C273" s="14" t="inlineStr">
        <is>
          <t>Marketing</t>
        </is>
      </c>
      <c r="D273" s="14" t="inlineStr">
        <is>
          <t>Maaz Tareen</t>
        </is>
      </c>
      <c r="E273" s="14" t="inlineStr">
        <is>
          <t>UI/UX Designer</t>
        </is>
      </c>
      <c r="F273" s="14" t="inlineStr">
        <is>
          <t>MAQx</t>
        </is>
      </c>
      <c r="G273" s="15" t="inlineStr">
        <is>
          <t>Academix Mentor Content Bucket</t>
        </is>
      </c>
      <c r="H273" s="15" t="inlineStr">
        <is>
          <t>A reusable bank of Academix Mentor content ideas.</t>
        </is>
      </c>
      <c r="I273" s="14" t="inlineStr">
        <is>
          <t>completed</t>
        </is>
      </c>
      <c r="J273" s="9" t="n">
        <v>0</v>
      </c>
      <c r="K273" s="9" t="n">
        <v>0</v>
      </c>
      <c r="L273" s="9">
        <f>J273+K273</f>
        <v/>
      </c>
      <c r="M273" s="9" t="n">
        <v>0.1666666666666667</v>
      </c>
    </row>
    <row r="274">
      <c r="A274" s="14" t="inlineStr">
        <is>
          <t>2026-08-17</t>
        </is>
      </c>
      <c r="B274" s="14" t="inlineStr">
        <is>
          <t>Wk3  17 Aug–23 Aug</t>
        </is>
      </c>
      <c r="C274" s="14" t="inlineStr">
        <is>
          <t>Marketing</t>
        </is>
      </c>
      <c r="D274" s="14" t="inlineStr">
        <is>
          <t>Maaz Tareen</t>
        </is>
      </c>
      <c r="E274" s="14" t="inlineStr">
        <is>
          <t>UI/UX Designer</t>
        </is>
      </c>
      <c r="F274" s="14" t="inlineStr">
        <is>
          <t>MAQx</t>
        </is>
      </c>
      <c r="G274" s="15" t="inlineStr">
        <is>
          <t>Maqx Content Plan (for ads and posting)</t>
        </is>
      </c>
      <c r="H274" s="15" t="inlineStr">
        <is>
          <t>Planning MAQx content for ads and organic posting.</t>
        </is>
      </c>
      <c r="I274" s="14" t="inlineStr">
        <is>
          <t>review</t>
        </is>
      </c>
      <c r="J274" s="9" t="n">
        <v>0</v>
      </c>
      <c r="K274" s="9" t="n">
        <v>0</v>
      </c>
      <c r="L274" s="9">
        <f>J274+K274</f>
        <v/>
      </c>
      <c r="M274" s="9" t="n">
        <v>0.1875</v>
      </c>
    </row>
    <row r="275">
      <c r="A275" s="14" t="inlineStr">
        <is>
          <t>2026-08-17</t>
        </is>
      </c>
      <c r="B275" s="14" t="inlineStr">
        <is>
          <t>Wk3  17 Aug–23 Aug</t>
        </is>
      </c>
      <c r="C275" s="14" t="inlineStr">
        <is>
          <t>Marketing</t>
        </is>
      </c>
      <c r="D275" s="14" t="inlineStr">
        <is>
          <t>Maaz Tareen</t>
        </is>
      </c>
      <c r="E275" s="14" t="inlineStr">
        <is>
          <t>UI/UX Designer</t>
        </is>
      </c>
      <c r="F275" s="14" t="inlineStr">
        <is>
          <t>MAQx</t>
        </is>
      </c>
      <c r="G275" s="15" t="inlineStr">
        <is>
          <t>Maqx Content bucket</t>
        </is>
      </c>
      <c r="H275" s="15" t="inlineStr">
        <is>
          <t>Building a reusable bank of MAQx content ideas.</t>
        </is>
      </c>
      <c r="I275" s="14" t="inlineStr">
        <is>
          <t>review</t>
        </is>
      </c>
      <c r="J275" s="9" t="n">
        <v>0</v>
      </c>
      <c r="K275" s="9" t="n">
        <v>0</v>
      </c>
      <c r="L275" s="9">
        <f>J275+K275</f>
        <v/>
      </c>
      <c r="M275" s="9" t="n">
        <v>0.2708333333333333</v>
      </c>
    </row>
    <row r="276">
      <c r="A276" s="14" t="inlineStr">
        <is>
          <t>2026-08-17</t>
        </is>
      </c>
      <c r="B276" s="14" t="inlineStr">
        <is>
          <t>Wk3  17 Aug–23 Aug</t>
        </is>
      </c>
      <c r="C276" s="14" t="inlineStr">
        <is>
          <t>Marketing</t>
        </is>
      </c>
      <c r="D276" s="14" t="inlineStr">
        <is>
          <t>Maaz Tareen</t>
        </is>
      </c>
      <c r="E276" s="14" t="inlineStr">
        <is>
          <t>UI/UX Designer</t>
        </is>
      </c>
      <c r="F276" s="14" t="inlineStr">
        <is>
          <t>MAQx</t>
        </is>
      </c>
      <c r="G276" s="15" t="inlineStr">
        <is>
          <t>Maqx Reel</t>
        </is>
      </c>
      <c r="H276" s="15" t="inlineStr">
        <is>
          <t>Producing a short video reel about IELTS.</t>
        </is>
      </c>
      <c r="I276" s="14" t="inlineStr">
        <is>
          <t>review</t>
        </is>
      </c>
      <c r="J276" s="9" t="n">
        <v>0</v>
      </c>
      <c r="K276" s="9" t="n">
        <v>0</v>
      </c>
      <c r="L276" s="9">
        <f>J276+K276</f>
        <v/>
      </c>
      <c r="M276" s="9" t="n">
        <v>0.1041666666666667</v>
      </c>
    </row>
    <row r="277">
      <c r="A277" s="14" t="inlineStr">
        <is>
          <t>2026-08-17</t>
        </is>
      </c>
      <c r="B277" s="14" t="inlineStr">
        <is>
          <t>Wk3  17 Aug–23 Aug</t>
        </is>
      </c>
      <c r="C277" s="14" t="inlineStr">
        <is>
          <t>Marketing</t>
        </is>
      </c>
      <c r="D277" s="14" t="inlineStr">
        <is>
          <t>Noor Shahid</t>
        </is>
      </c>
      <c r="E277" s="14" t="inlineStr">
        <is>
          <t>Chief Marketing Officer</t>
        </is>
      </c>
      <c r="F277" s="14" t="inlineStr">
        <is>
          <t>Titan Forge</t>
        </is>
      </c>
      <c r="G277" s="15" t="inlineStr">
        <is>
          <t>Google ad account setup</t>
        </is>
      </c>
      <c r="H277" s="15" t="inlineStr">
        <is>
          <t>Setting up the Google Ads account.</t>
        </is>
      </c>
      <c r="I277" s="14" t="inlineStr">
        <is>
          <t>completed</t>
        </is>
      </c>
      <c r="J277" s="9" t="n">
        <v>0</v>
      </c>
      <c r="K277" s="9" t="n">
        <v>0</v>
      </c>
      <c r="L277" s="9">
        <f>J277+K277</f>
        <v/>
      </c>
      <c r="M277" s="9" t="n">
        <v>0.08333333333333333</v>
      </c>
    </row>
    <row r="278">
      <c r="A278" s="14" t="inlineStr">
        <is>
          <t>2026-08-17</t>
        </is>
      </c>
      <c r="B278" s="14" t="inlineStr">
        <is>
          <t>Wk3  17 Aug–23 Aug</t>
        </is>
      </c>
      <c r="C278" s="14" t="inlineStr">
        <is>
          <t>Marketing</t>
        </is>
      </c>
      <c r="D278" s="14" t="inlineStr">
        <is>
          <t>Noor Shahid</t>
        </is>
      </c>
      <c r="E278" s="14" t="inlineStr">
        <is>
          <t>Chief Marketing Officer</t>
        </is>
      </c>
      <c r="F278" s="14" t="inlineStr">
        <is>
          <t>Titan Forge</t>
        </is>
      </c>
      <c r="G278" s="15" t="inlineStr">
        <is>
          <t>Tag Manger Tracking</t>
        </is>
      </c>
      <c r="H278" s="15" t="inlineStr">
        <is>
          <t>Tracking all website events via Tag Manager.</t>
        </is>
      </c>
      <c r="I278" s="14" t="inlineStr">
        <is>
          <t>completed</t>
        </is>
      </c>
      <c r="J278" s="9" t="n">
        <v>0</v>
      </c>
      <c r="K278" s="9" t="n">
        <v>0</v>
      </c>
      <c r="L278" s="9">
        <f>J278+K278</f>
        <v/>
      </c>
      <c r="M278" s="9" t="n">
        <v>0.08333333333333333</v>
      </c>
    </row>
    <row r="279">
      <c r="A279" s="14" t="inlineStr">
        <is>
          <t>2026-08-17</t>
        </is>
      </c>
      <c r="B279" s="14" t="inlineStr">
        <is>
          <t>Wk3  17 Aug–23 Aug</t>
        </is>
      </c>
      <c r="C279" s="14" t="inlineStr">
        <is>
          <t>Marketing</t>
        </is>
      </c>
      <c r="D279" s="14" t="inlineStr">
        <is>
          <t>Saif Ullah</t>
        </is>
      </c>
      <c r="E279" s="14" t="inlineStr">
        <is>
          <t>Chief Operations Officer</t>
        </is>
      </c>
      <c r="F279" s="14" t="inlineStr">
        <is>
          <t>Neowall</t>
        </is>
      </c>
      <c r="G279" s="15" t="inlineStr">
        <is>
          <t>New Year</t>
        </is>
      </c>
      <c r="H279" s="15" t="inlineStr">
        <is>
          <t>New Year campaign pushing lower-selling products.</t>
        </is>
      </c>
      <c r="I279" s="14" t="inlineStr">
        <is>
          <t>backlog</t>
        </is>
      </c>
      <c r="J279" s="9" t="n">
        <v>0</v>
      </c>
      <c r="K279" s="9" t="n">
        <v>0</v>
      </c>
      <c r="L279" s="9">
        <f>J279+K279</f>
        <v/>
      </c>
      <c r="M279" s="9" t="n">
        <v>0</v>
      </c>
    </row>
    <row r="280">
      <c r="A280" s="14" t="inlineStr">
        <is>
          <t>2026-08-24</t>
        </is>
      </c>
      <c r="B280" s="14" t="inlineStr">
        <is>
          <t>Wk4  24 Aug–30 Aug</t>
        </is>
      </c>
      <c r="C280" s="14" t="inlineStr">
        <is>
          <t>Marketing</t>
        </is>
      </c>
      <c r="D280" s="14" t="inlineStr">
        <is>
          <t>Atta Ul Mustafa Saad</t>
        </is>
      </c>
      <c r="E280" s="14" t="inlineStr">
        <is>
          <t>UI/UX Designer</t>
        </is>
      </c>
      <c r="F280" s="14" t="inlineStr">
        <is>
          <t>Linknbit</t>
        </is>
      </c>
      <c r="G280" s="15" t="inlineStr">
        <is>
          <t>12 Rabi Ul Awal Post</t>
        </is>
      </c>
      <c r="H280" s="15" t="inlineStr">
        <is>
          <t>A 12 Rabi ul Awal post for Facebook, LinkedIn and Instagram.</t>
        </is>
      </c>
      <c r="I280" s="14" t="inlineStr">
        <is>
          <t>completed</t>
        </is>
      </c>
      <c r="J280" s="9" t="n">
        <v>0.0798611111111111</v>
      </c>
      <c r="K280" s="9" t="n">
        <v>0.03472222222222222</v>
      </c>
      <c r="L280" s="9">
        <f>J280+K280</f>
        <v/>
      </c>
      <c r="M280" s="9" t="n">
        <v>0.1354166666666667</v>
      </c>
    </row>
    <row r="281">
      <c r="A281" s="14" t="inlineStr">
        <is>
          <t>2026-08-24</t>
        </is>
      </c>
      <c r="B281" s="14" t="inlineStr">
        <is>
          <t>Wk4  24 Aug–30 Aug</t>
        </is>
      </c>
      <c r="C281" s="14" t="inlineStr">
        <is>
          <t>Marketing</t>
        </is>
      </c>
      <c r="D281" s="14" t="inlineStr">
        <is>
          <t>Atta Ul Mustafa Saad</t>
        </is>
      </c>
      <c r="E281" s="14" t="inlineStr">
        <is>
          <t>UI/UX Designer</t>
        </is>
      </c>
      <c r="F281" s="14" t="inlineStr">
        <is>
          <t>Linknbit</t>
        </is>
      </c>
      <c r="G281" s="15" t="inlineStr">
        <is>
          <t>6 September Post</t>
        </is>
      </c>
      <c r="H281" s="15" t="inlineStr">
        <is>
          <t>Defence Day posts for Facebook, Instagram and LinkedIn.</t>
        </is>
      </c>
      <c r="I281" s="14" t="inlineStr">
        <is>
          <t>completed</t>
        </is>
      </c>
      <c r="J281" s="9" t="n">
        <v>0.1361111111111111</v>
      </c>
      <c r="K281" s="9" t="n">
        <v>0</v>
      </c>
      <c r="L281" s="9">
        <f>J281+K281</f>
        <v/>
      </c>
      <c r="M281" s="9" t="n">
        <v>0.1666666666666667</v>
      </c>
    </row>
    <row r="282">
      <c r="A282" s="14" t="inlineStr">
        <is>
          <t>2026-08-24</t>
        </is>
      </c>
      <c r="B282" s="14" t="inlineStr">
        <is>
          <t>Wk4  24 Aug–30 Aug</t>
        </is>
      </c>
      <c r="C282" s="14" t="inlineStr">
        <is>
          <t>Marketing</t>
        </is>
      </c>
      <c r="D282" s="14" t="inlineStr">
        <is>
          <t>Maaz Tareen</t>
        </is>
      </c>
      <c r="E282" s="14" t="inlineStr">
        <is>
          <t>UI/UX Designer</t>
        </is>
      </c>
      <c r="F282" s="14" t="inlineStr">
        <is>
          <t>Academix Mentor</t>
        </is>
      </c>
      <c r="G282" s="15" t="inlineStr">
        <is>
          <t>Holiday Posts</t>
        </is>
      </c>
      <c r="H282" s="15" t="inlineStr">
        <is>
          <t>Posts for 12 Rabi ul Awal and 6 September.</t>
        </is>
      </c>
      <c r="I282" s="14" t="inlineStr">
        <is>
          <t>review</t>
        </is>
      </c>
      <c r="J282" s="9" t="n">
        <v>0.02847222222222222</v>
      </c>
      <c r="K282" s="9" t="n">
        <v>0.03819444444444445</v>
      </c>
      <c r="L282" s="9">
        <f>J282+K282</f>
        <v/>
      </c>
      <c r="M282" s="9" t="n">
        <v>0.125</v>
      </c>
    </row>
    <row r="283">
      <c r="A283" s="14" t="inlineStr">
        <is>
          <t>2026-08-24</t>
        </is>
      </c>
      <c r="B283" s="14" t="inlineStr">
        <is>
          <t>Wk4  24 Aug–30 Aug</t>
        </is>
      </c>
      <c r="C283" s="14" t="inlineStr">
        <is>
          <t>Marketing</t>
        </is>
      </c>
      <c r="D283" s="14" t="inlineStr">
        <is>
          <t>Maaz Tareen</t>
        </is>
      </c>
      <c r="E283" s="14" t="inlineStr">
        <is>
          <t>UI/UX Designer</t>
        </is>
      </c>
      <c r="F283" s="14" t="inlineStr">
        <is>
          <t>MAQx</t>
        </is>
      </c>
      <c r="G283" s="15" t="inlineStr">
        <is>
          <t>Holidays Posts</t>
        </is>
      </c>
      <c r="H283" s="15" t="inlineStr">
        <is>
          <t>Posts for 12 Rabi ul Awal and Defence Day.</t>
        </is>
      </c>
      <c r="I283" s="14" t="inlineStr">
        <is>
          <t>review</t>
        </is>
      </c>
      <c r="J283" s="9" t="n">
        <v>0</v>
      </c>
      <c r="K283" s="9" t="n">
        <v>0.08680555555555555</v>
      </c>
      <c r="L283" s="9">
        <f>J283+K283</f>
        <v/>
      </c>
      <c r="M283" s="9" t="n">
        <v>0.08333333333333333</v>
      </c>
    </row>
    <row r="284">
      <c r="A284" s="14" t="inlineStr">
        <is>
          <t>2026-08-24</t>
        </is>
      </c>
      <c r="B284" s="14" t="inlineStr">
        <is>
          <t>Wk4  24 Aug–30 Aug</t>
        </is>
      </c>
      <c r="C284" s="14" t="inlineStr">
        <is>
          <t>Marketing</t>
        </is>
      </c>
      <c r="D284" s="14" t="inlineStr">
        <is>
          <t>Maaz Tareen</t>
        </is>
      </c>
      <c r="E284" s="14" t="inlineStr">
        <is>
          <t>UI/UX Designer</t>
        </is>
      </c>
      <c r="F284" s="14" t="inlineStr">
        <is>
          <t>MAQx</t>
        </is>
      </c>
      <c r="G284" s="15" t="inlineStr">
        <is>
          <t>Maqx Content Plan (for ads and posting)</t>
        </is>
      </c>
      <c r="H284" s="15" t="inlineStr">
        <is>
          <t>Planning MAQx content for ads and organic posting.</t>
        </is>
      </c>
      <c r="I284" s="14" t="inlineStr">
        <is>
          <t>review</t>
        </is>
      </c>
      <c r="J284" s="9" t="n">
        <v>0</v>
      </c>
      <c r="K284" s="9" t="n">
        <v>0</v>
      </c>
      <c r="L284" s="9">
        <f>J284+K284</f>
        <v/>
      </c>
      <c r="M284" s="9" t="n">
        <v>0.2916666666666667</v>
      </c>
    </row>
    <row r="285">
      <c r="A285" s="14" t="inlineStr">
        <is>
          <t>2026-08-24</t>
        </is>
      </c>
      <c r="B285" s="14" t="inlineStr">
        <is>
          <t>Wk4  24 Aug–30 Aug</t>
        </is>
      </c>
      <c r="C285" s="14" t="inlineStr">
        <is>
          <t>Marketing</t>
        </is>
      </c>
      <c r="D285" s="14" t="inlineStr">
        <is>
          <t>Maaz Tareen</t>
        </is>
      </c>
      <c r="E285" s="14" t="inlineStr">
        <is>
          <t>UI/UX Designer</t>
        </is>
      </c>
      <c r="F285" s="14" t="inlineStr">
        <is>
          <t>MAQx</t>
        </is>
      </c>
      <c r="G285" s="15" t="inlineStr">
        <is>
          <t>Maqx Reel</t>
        </is>
      </c>
      <c r="H285" s="15" t="inlineStr">
        <is>
          <t>Producing a short video reel about IELTS.</t>
        </is>
      </c>
      <c r="I285" s="14" t="inlineStr">
        <is>
          <t>review</t>
        </is>
      </c>
      <c r="J285" s="9" t="n">
        <v>0.3951388888888889</v>
      </c>
      <c r="K285" s="9" t="n">
        <v>0.04166666666666666</v>
      </c>
      <c r="L285" s="9">
        <f>J285+K285</f>
        <v/>
      </c>
      <c r="M285" s="9" t="n">
        <v>0.375</v>
      </c>
    </row>
    <row r="286">
      <c r="A286" s="14" t="inlineStr">
        <is>
          <t>2026-08-24</t>
        </is>
      </c>
      <c r="B286" s="14" t="inlineStr">
        <is>
          <t>Wk4  24 Aug–30 Aug</t>
        </is>
      </c>
      <c r="C286" s="14" t="inlineStr">
        <is>
          <t>Marketing</t>
        </is>
      </c>
      <c r="D286" s="14" t="inlineStr">
        <is>
          <t>Mahnoor Khalid</t>
        </is>
      </c>
      <c r="E286" s="14" t="inlineStr">
        <is>
          <t>Digital Marketing Executive</t>
        </is>
      </c>
      <c r="F286" s="14" t="inlineStr">
        <is>
          <t>Linknbit</t>
        </is>
      </c>
      <c r="G286" s="15" t="inlineStr">
        <is>
          <t>Linknbit Social Media Content &amp; Reels</t>
        </is>
      </c>
      <c r="H286" s="15" t="inlineStr">
        <is>
          <t>Our own social content and reels, per the subtasks.</t>
        </is>
      </c>
      <c r="I286" s="14" t="inlineStr">
        <is>
          <t>review</t>
        </is>
      </c>
      <c r="J286" s="9" t="n">
        <v>0.1631944444444444</v>
      </c>
      <c r="K286" s="9" t="n">
        <v>0</v>
      </c>
      <c r="L286" s="9">
        <f>J286+K286</f>
        <v/>
      </c>
      <c r="M286" s="9" t="n">
        <v>0</v>
      </c>
    </row>
    <row r="287">
      <c r="A287" s="14" t="inlineStr">
        <is>
          <t>2026-08-24</t>
        </is>
      </c>
      <c r="B287" s="14" t="inlineStr">
        <is>
          <t>Wk4  24 Aug–30 Aug</t>
        </is>
      </c>
      <c r="C287" s="14" t="inlineStr">
        <is>
          <t>Marketing</t>
        </is>
      </c>
      <c r="D287" s="14" t="inlineStr">
        <is>
          <t>Mahnoor Khalid</t>
        </is>
      </c>
      <c r="E287" s="14" t="inlineStr">
        <is>
          <t>Digital Marketing Executive</t>
        </is>
      </c>
      <c r="F287" s="14" t="inlineStr">
        <is>
          <t>MAQx</t>
        </is>
      </c>
      <c r="G287" s="15" t="inlineStr">
        <is>
          <t>Social Media Post Plan</t>
        </is>
      </c>
      <c r="H287" s="15" t="inlineStr">
        <is>
          <t>Planning the reels and static posts for the intake campaign.</t>
        </is>
      </c>
      <c r="I287" s="14" t="inlineStr">
        <is>
          <t>completed</t>
        </is>
      </c>
      <c r="J287" s="9" t="n">
        <v>0.1479166666666667</v>
      </c>
      <c r="K287" s="9" t="n">
        <v>0</v>
      </c>
      <c r="L287" s="9">
        <f>J287+K287</f>
        <v/>
      </c>
      <c r="M287" s="9" t="n">
        <v>0</v>
      </c>
    </row>
    <row r="288">
      <c r="A288" s="14" t="inlineStr">
        <is>
          <t>2026-08-24</t>
        </is>
      </c>
      <c r="B288" s="14" t="inlineStr">
        <is>
          <t>Wk4  24 Aug–30 Aug</t>
        </is>
      </c>
      <c r="C288" s="14" t="inlineStr">
        <is>
          <t>Marketing</t>
        </is>
      </c>
      <c r="D288" s="14" t="inlineStr">
        <is>
          <t>Mahnoor Khalid</t>
        </is>
      </c>
      <c r="E288" s="14" t="inlineStr">
        <is>
          <t>Digital Marketing Executive</t>
        </is>
      </c>
      <c r="F288" s="14" t="inlineStr">
        <is>
          <t>Academix Mentor</t>
        </is>
      </c>
      <c r="G288" s="15" t="inlineStr">
        <is>
          <t>Social Media Post Plan</t>
        </is>
      </c>
      <c r="H288" s="15" t="inlineStr">
        <is>
          <t>Planning the reels and static posts for the intake campaign.</t>
        </is>
      </c>
      <c r="I288" s="14" t="inlineStr">
        <is>
          <t>completed</t>
        </is>
      </c>
      <c r="J288" s="9" t="n">
        <v>0.03611111111111111</v>
      </c>
      <c r="K288" s="9" t="n">
        <v>0</v>
      </c>
      <c r="L288" s="9">
        <f>J288+K288</f>
        <v/>
      </c>
      <c r="M288" s="9" t="n">
        <v>0.3333333333333333</v>
      </c>
    </row>
    <row r="289">
      <c r="A289" s="14" t="inlineStr">
        <is>
          <t>2026-08-24</t>
        </is>
      </c>
      <c r="B289" s="14" t="inlineStr">
        <is>
          <t>Wk4  24 Aug–30 Aug</t>
        </is>
      </c>
      <c r="C289" s="14" t="inlineStr">
        <is>
          <t>Marketing</t>
        </is>
      </c>
      <c r="D289" s="14" t="inlineStr">
        <is>
          <t>Yasir birlas</t>
        </is>
      </c>
      <c r="E289" s="14" t="inlineStr">
        <is>
          <t>Digital Marketing Executive</t>
        </is>
      </c>
      <c r="F289" s="14" t="inlineStr">
        <is>
          <t>Neowall</t>
        </is>
      </c>
      <c r="G289" s="15" t="inlineStr">
        <is>
          <t>Email Flows Design</t>
        </is>
      </c>
      <c r="H289" s="15" t="inlineStr">
        <is>
          <t>Designing automated marketing email sequences.</t>
        </is>
      </c>
      <c r="I289" s="14" t="inlineStr">
        <is>
          <t>completed</t>
        </is>
      </c>
      <c r="J289" s="9" t="n">
        <v>0</v>
      </c>
      <c r="K289" s="9" t="n">
        <v>0</v>
      </c>
      <c r="L289" s="9">
        <f>J289+K289</f>
        <v/>
      </c>
      <c r="M289" s="9" t="n">
        <v>0.625</v>
      </c>
    </row>
    <row r="290">
      <c r="A290" s="14" t="inlineStr">
        <is>
          <t>2026-08-31</t>
        </is>
      </c>
      <c r="B290" s="14" t="inlineStr">
        <is>
          <t>Wk5  31 Aug–06 Sep</t>
        </is>
      </c>
      <c r="C290" s="14" t="inlineStr">
        <is>
          <t>Marketing</t>
        </is>
      </c>
      <c r="D290" s="14" t="inlineStr">
        <is>
          <t>Saif Ullah</t>
        </is>
      </c>
      <c r="E290" s="14" t="inlineStr">
        <is>
          <t>Chief Operations Officer</t>
        </is>
      </c>
      <c r="F290" s="14" t="inlineStr">
        <is>
          <t>MAQx</t>
        </is>
      </c>
      <c r="G290" s="15" t="inlineStr">
        <is>
          <t>Quarterly Strategy</t>
        </is>
      </c>
      <c r="H290" s="15" t="inlineStr">
        <is>
          <t>Building the next three-month strategy.</t>
        </is>
      </c>
      <c r="I290" s="14" t="inlineStr">
        <is>
          <t>backlog</t>
        </is>
      </c>
      <c r="J290" s="9" t="n">
        <v>0</v>
      </c>
      <c r="K290" s="9" t="n">
        <v>0</v>
      </c>
      <c r="L290" s="9">
        <f>J290+K290</f>
        <v/>
      </c>
      <c r="M290" s="9" t="n">
        <v>0</v>
      </c>
    </row>
    <row r="291">
      <c r="A291" s="14" t="inlineStr">
        <is>
          <t>2026-08-31</t>
        </is>
      </c>
      <c r="B291" s="14" t="inlineStr">
        <is>
          <t>Wk5  31 Aug–06 Sep</t>
        </is>
      </c>
      <c r="C291" s="14" t="inlineStr">
        <is>
          <t>Marketing</t>
        </is>
      </c>
      <c r="D291" s="14" t="inlineStr">
        <is>
          <t>Yasir birlas</t>
        </is>
      </c>
      <c r="E291" s="14" t="inlineStr">
        <is>
          <t>Digital Marketing Executive</t>
        </is>
      </c>
      <c r="F291" s="14" t="inlineStr">
        <is>
          <t>Neowall</t>
        </is>
      </c>
      <c r="G291" s="15" t="inlineStr">
        <is>
          <t>Content Changing</t>
        </is>
      </c>
      <c r="H291" s="15" t="inlineStr">
        <is>
          <t>Global text change: 25-year warranty updated to 10-year everywhere.</t>
        </is>
      </c>
      <c r="I291" s="14" t="inlineStr">
        <is>
          <t>approved</t>
        </is>
      </c>
      <c r="J291" s="9" t="n">
        <v>0.3819444444444444</v>
      </c>
      <c r="K291" s="9" t="n">
        <v>0</v>
      </c>
      <c r="L291" s="9">
        <f>J291+K291</f>
        <v/>
      </c>
      <c r="M291" s="9" t="n">
        <v>0.7013888888888888</v>
      </c>
    </row>
    <row r="292">
      <c r="A292" s="14" t="inlineStr">
        <is>
          <t>2026-08-31</t>
        </is>
      </c>
      <c r="B292" s="14" t="inlineStr">
        <is>
          <t>Wk5  31 Aug–06 Sep</t>
        </is>
      </c>
      <c r="C292" s="14" t="inlineStr">
        <is>
          <t>Marketing</t>
        </is>
      </c>
      <c r="D292" s="14" t="inlineStr">
        <is>
          <t>Yasir birlas</t>
        </is>
      </c>
      <c r="E292" s="14" t="inlineStr">
        <is>
          <t>Digital Marketing Executive</t>
        </is>
      </c>
      <c r="F292" s="14" t="inlineStr">
        <is>
          <t>MAQx</t>
        </is>
      </c>
      <c r="G292" s="15" t="inlineStr">
        <is>
          <t>Maqx Content bucket</t>
        </is>
      </c>
      <c r="H292" s="15" t="inlineStr">
        <is>
          <t>Building a reusable bank of MAQx content ideas.</t>
        </is>
      </c>
      <c r="I292" s="14" t="inlineStr">
        <is>
          <t>review</t>
        </is>
      </c>
      <c r="J292" s="9" t="n">
        <v>0</v>
      </c>
      <c r="K292" s="9" t="n">
        <v>0</v>
      </c>
      <c r="L292" s="9">
        <f>J292+K292</f>
        <v/>
      </c>
      <c r="M292" s="9" t="n">
        <v>0.04166666666666666</v>
      </c>
    </row>
    <row r="293">
      <c r="A293" s="14" t="inlineStr">
        <is>
          <t>2026-08-31</t>
        </is>
      </c>
      <c r="B293" s="14" t="inlineStr">
        <is>
          <t>Wk5  31 Aug–06 Sep</t>
        </is>
      </c>
      <c r="C293" s="14" t="inlineStr">
        <is>
          <t>Marketing</t>
        </is>
      </c>
      <c r="D293" s="14" t="inlineStr">
        <is>
          <t>Yasir birlas</t>
        </is>
      </c>
      <c r="E293" s="14" t="inlineStr">
        <is>
          <t>Digital Marketing Executive</t>
        </is>
      </c>
      <c r="F293" s="14" t="inlineStr">
        <is>
          <t>Neowall</t>
        </is>
      </c>
      <c r="G293" s="15" t="inlineStr">
        <is>
          <t>Monthly Deliverables</t>
        </is>
      </c>
      <c r="H293" s="15" t="inlineStr">
        <is>
          <t>The agreed monthly package of work for Neowall.</t>
        </is>
      </c>
      <c r="I293" s="14" t="inlineStr">
        <is>
          <t>review</t>
        </is>
      </c>
      <c r="J293" s="9" t="n">
        <v>0.2708333333333333</v>
      </c>
      <c r="K293" s="9" t="n">
        <v>0</v>
      </c>
      <c r="L293" s="9">
        <f>J293+K293</f>
        <v/>
      </c>
      <c r="M293" s="9" t="n">
        <v>0.3333333333333333</v>
      </c>
    </row>
    <row r="294">
      <c r="A294" s="14" t="inlineStr">
        <is>
          <t>2026-08-31</t>
        </is>
      </c>
      <c r="B294" s="14" t="inlineStr">
        <is>
          <t>Wk5  31 Aug–06 Sep</t>
        </is>
      </c>
      <c r="C294" s="14" t="inlineStr">
        <is>
          <t>Marketing</t>
        </is>
      </c>
      <c r="D294" s="14" t="inlineStr">
        <is>
          <t>Yasir birlas</t>
        </is>
      </c>
      <c r="E294" s="14" t="inlineStr">
        <is>
          <t>Digital Marketing Executive</t>
        </is>
      </c>
      <c r="F294" s="14" t="inlineStr">
        <is>
          <t>Titan Forge</t>
        </is>
      </c>
      <c r="G294" s="15" t="inlineStr">
        <is>
          <t>Website Changes</t>
        </is>
      </c>
      <c r="H294" s="15" t="inlineStr">
        <is>
          <t>SEO-driven changes: category headings, descriptions and FAQ sections.</t>
        </is>
      </c>
      <c r="I294" s="14" t="inlineStr">
        <is>
          <t>review</t>
        </is>
      </c>
      <c r="J294" s="9" t="n">
        <v>0.1277777777777778</v>
      </c>
      <c r="K294" s="9" t="n">
        <v>0</v>
      </c>
      <c r="L294" s="9">
        <f>J294+K294</f>
        <v/>
      </c>
      <c r="M294" s="9" t="n">
        <v>0.1458333333333333</v>
      </c>
    </row>
    <row r="295">
      <c r="A295" s="14" t="inlineStr">
        <is>
          <t>2026-09-07</t>
        </is>
      </c>
      <c r="B295" s="14" t="inlineStr">
        <is>
          <t>Wk6  07 Sep–13 Sep</t>
        </is>
      </c>
      <c r="C295" s="14" t="inlineStr">
        <is>
          <t>Marketing</t>
        </is>
      </c>
      <c r="D295" s="14" t="inlineStr">
        <is>
          <t>Noor Shahid</t>
        </is>
      </c>
      <c r="E295" s="14" t="inlineStr">
        <is>
          <t>Chief Marketing Officer</t>
        </is>
      </c>
      <c r="F295" s="14" t="inlineStr">
        <is>
          <t>Neowall</t>
        </is>
      </c>
      <c r="G295" s="15" t="inlineStr">
        <is>
          <t>Ad Campaign</t>
        </is>
      </c>
      <c r="H295" s="15" t="inlineStr">
        <is>
          <t>Launching the Meta ad campaign.</t>
        </is>
      </c>
      <c r="I295" s="14" t="inlineStr">
        <is>
          <t>in_progress</t>
        </is>
      </c>
      <c r="J295" s="9" t="n">
        <v>0.1006944444444444</v>
      </c>
      <c r="K295" s="9" t="n">
        <v>0</v>
      </c>
      <c r="L295" s="9">
        <f>J295+K295</f>
        <v/>
      </c>
      <c r="M295" s="9" t="n">
        <v>0</v>
      </c>
    </row>
    <row r="296">
      <c r="A296" s="14" t="inlineStr">
        <is>
          <t>2026-09-07</t>
        </is>
      </c>
      <c r="B296" s="14" t="inlineStr">
        <is>
          <t>Wk6  07 Sep–13 Sep</t>
        </is>
      </c>
      <c r="C296" s="14" t="inlineStr">
        <is>
          <t>Marketing</t>
        </is>
      </c>
      <c r="D296" s="14" t="inlineStr">
        <is>
          <t>Yasir birlas</t>
        </is>
      </c>
      <c r="E296" s="14" t="inlineStr">
        <is>
          <t>Digital Marketing Executive</t>
        </is>
      </c>
      <c r="F296" s="14" t="inlineStr">
        <is>
          <t>Neowall</t>
        </is>
      </c>
      <c r="G296" s="15" t="inlineStr">
        <is>
          <t>Content Changing</t>
        </is>
      </c>
      <c r="H296" s="15" t="inlineStr">
        <is>
          <t>Global text change: 25-year warranty updated to 10-year everywhere.</t>
        </is>
      </c>
      <c r="I296" s="14" t="inlineStr">
        <is>
          <t>approved</t>
        </is>
      </c>
      <c r="J296" s="9" t="n">
        <v>0</v>
      </c>
      <c r="K296" s="9" t="n">
        <v>0</v>
      </c>
      <c r="L296" s="9">
        <f>J296+K296</f>
        <v/>
      </c>
      <c r="M296" s="9" t="n">
        <v>0.0625</v>
      </c>
    </row>
    <row r="297">
      <c r="A297" s="14" t="inlineStr">
        <is>
          <t>2026-09-07</t>
        </is>
      </c>
      <c r="B297" s="14" t="inlineStr">
        <is>
          <t>Wk6  07 Sep–13 Sep</t>
        </is>
      </c>
      <c r="C297" s="14" t="inlineStr">
        <is>
          <t>Marketing</t>
        </is>
      </c>
      <c r="D297" s="14" t="inlineStr">
        <is>
          <t>Yasir birlas</t>
        </is>
      </c>
      <c r="E297" s="14" t="inlineStr">
        <is>
          <t>Digital Marketing Executive</t>
        </is>
      </c>
      <c r="F297" s="14" t="inlineStr">
        <is>
          <t>Neowall</t>
        </is>
      </c>
      <c r="G297" s="15" t="inlineStr">
        <is>
          <t>Content Deliverables/Blogs</t>
        </is>
      </c>
      <c r="H297" s="15" t="inlineStr">
        <is>
          <t>Writing the agreed blog and content deliverables.</t>
        </is>
      </c>
      <c r="I297" s="14" t="inlineStr">
        <is>
          <t>in_progress</t>
        </is>
      </c>
      <c r="J297" s="9" t="n">
        <v>0.2770833333333333</v>
      </c>
      <c r="K297" s="9" t="n">
        <v>0.3472222222222222</v>
      </c>
      <c r="L297" s="9">
        <f>J297+K297</f>
        <v/>
      </c>
      <c r="M297" s="9" t="n">
        <v>0.2840277777777778</v>
      </c>
    </row>
    <row r="298">
      <c r="A298" s="14" t="inlineStr">
        <is>
          <t>2026-09-07</t>
        </is>
      </c>
      <c r="B298" s="14" t="inlineStr">
        <is>
          <t>Wk6  07 Sep–13 Sep</t>
        </is>
      </c>
      <c r="C298" s="14" t="inlineStr">
        <is>
          <t>Marketing</t>
        </is>
      </c>
      <c r="D298" s="14" t="inlineStr">
        <is>
          <t>Yasir birlas</t>
        </is>
      </c>
      <c r="E298" s="14" t="inlineStr">
        <is>
          <t>Digital Marketing Executive</t>
        </is>
      </c>
      <c r="F298" s="14" t="inlineStr">
        <is>
          <t>Neowall</t>
        </is>
      </c>
      <c r="G298" s="15" t="inlineStr">
        <is>
          <t>Monthly Deliverables</t>
        </is>
      </c>
      <c r="H298" s="15" t="inlineStr">
        <is>
          <t>The agreed monthly package of work for Neowall.</t>
        </is>
      </c>
      <c r="I298" s="14" t="inlineStr">
        <is>
          <t>review</t>
        </is>
      </c>
      <c r="J298" s="9" t="n">
        <v>0.6694444444444444</v>
      </c>
      <c r="K298" s="9" t="n">
        <v>0</v>
      </c>
      <c r="L298" s="9">
        <f>J298+K298</f>
        <v/>
      </c>
      <c r="M298" s="9" t="n">
        <v>0.9243055555555556</v>
      </c>
    </row>
    <row r="299">
      <c r="A299" s="14" t="inlineStr">
        <is>
          <t>2026-09-07</t>
        </is>
      </c>
      <c r="B299" s="14" t="inlineStr">
        <is>
          <t>Wk6  07 Sep–13 Sep</t>
        </is>
      </c>
      <c r="C299" s="14" t="inlineStr">
        <is>
          <t>Marketing</t>
        </is>
      </c>
      <c r="D299" s="14" t="inlineStr">
        <is>
          <t>Yasir birlas</t>
        </is>
      </c>
      <c r="E299" s="14" t="inlineStr">
        <is>
          <t>Digital Marketing Executive</t>
        </is>
      </c>
      <c r="F299" s="14" t="inlineStr">
        <is>
          <t>Zedan</t>
        </is>
      </c>
      <c r="G299" s="15" t="inlineStr">
        <is>
          <t>Transactional Flow</t>
        </is>
      </c>
      <c r="H299" s="15" t="inlineStr">
        <is>
          <t>Setting up automated cart, checkout and purchase emails in Klaviyo.</t>
        </is>
      </c>
      <c r="I299" s="14" t="inlineStr">
        <is>
          <t>todo</t>
        </is>
      </c>
      <c r="J299" s="9" t="n">
        <v>0</v>
      </c>
      <c r="K299" s="9" t="n">
        <v>0</v>
      </c>
      <c r="L299" s="9">
        <f>J299+K299</f>
        <v/>
      </c>
      <c r="M299" s="9" t="n">
        <v>0.0625</v>
      </c>
    </row>
    <row r="300">
      <c r="A300" s="14" t="inlineStr">
        <is>
          <t>2026-09-07</t>
        </is>
      </c>
      <c r="B300" s="14" t="inlineStr">
        <is>
          <t>Wk6  07 Sep–13 Sep</t>
        </is>
      </c>
      <c r="C300" s="14" t="inlineStr">
        <is>
          <t>Marketing</t>
        </is>
      </c>
      <c r="D300" s="14" t="inlineStr">
        <is>
          <t>khizer hayat</t>
        </is>
      </c>
      <c r="E300" s="14" t="inlineStr">
        <is>
          <t>CMS Developer</t>
        </is>
      </c>
      <c r="F300" s="14" t="inlineStr">
        <is>
          <t>Neowall</t>
        </is>
      </c>
      <c r="G300" s="15" t="inlineStr">
        <is>
          <t>Monthly Deliverables</t>
        </is>
      </c>
      <c r="H300" s="15" t="inlineStr">
        <is>
          <t>The agreed monthly package of work for Neowall.</t>
        </is>
      </c>
      <c r="I300" s="14" t="inlineStr">
        <is>
          <t>review</t>
        </is>
      </c>
      <c r="J300" s="9" t="n">
        <v>0.02083333333333333</v>
      </c>
      <c r="K300" s="9" t="n">
        <v>0</v>
      </c>
      <c r="L300" s="9">
        <f>J300+K300</f>
        <v/>
      </c>
      <c r="M300" s="9" t="n">
        <v>0</v>
      </c>
    </row>
    <row r="301">
      <c r="A301" s="14" t="inlineStr">
        <is>
          <t>2026-09-14</t>
        </is>
      </c>
      <c r="B301" s="14" t="inlineStr">
        <is>
          <t>Wk7  14 Sep–20 Sep</t>
        </is>
      </c>
      <c r="C301" s="14" t="inlineStr">
        <is>
          <t>Marketing</t>
        </is>
      </c>
      <c r="D301" s="14" t="inlineStr">
        <is>
          <t>Yasir birlas</t>
        </is>
      </c>
      <c r="E301" s="14" t="inlineStr">
        <is>
          <t>Digital Marketing Executive</t>
        </is>
      </c>
      <c r="F301" s="14" t="inlineStr">
        <is>
          <t>Linknbit</t>
        </is>
      </c>
      <c r="G301" s="15" t="inlineStr">
        <is>
          <t>Please start posting on Meta</t>
        </is>
      </c>
      <c r="H301" s="15" t="inlineStr">
        <is>
          <t>Scheduling a month of posts on Instagram and Facebook.</t>
        </is>
      </c>
      <c r="I301" s="14" t="inlineStr">
        <is>
          <t>in_progress</t>
        </is>
      </c>
      <c r="J301" s="9" t="n">
        <v>0</v>
      </c>
      <c r="K301" s="9" t="n">
        <v>0.2534722222222222</v>
      </c>
      <c r="L301" s="9">
        <f>J301+K301</f>
        <v/>
      </c>
      <c r="M301" s="9" t="n">
        <v>0.3298611111111111</v>
      </c>
    </row>
    <row r="302">
      <c r="A302" s="14" t="inlineStr">
        <is>
          <t>2026-09-14</t>
        </is>
      </c>
      <c r="B302" s="14" t="inlineStr">
        <is>
          <t>Wk7  14 Sep–20 Sep</t>
        </is>
      </c>
      <c r="C302" s="14" t="inlineStr">
        <is>
          <t>Marketing</t>
        </is>
      </c>
      <c r="D302" s="14" t="inlineStr">
        <is>
          <t>Yasir birlas</t>
        </is>
      </c>
      <c r="E302" s="14" t="inlineStr">
        <is>
          <t>Digital Marketing Executive</t>
        </is>
      </c>
      <c r="F302" s="14" t="inlineStr">
        <is>
          <t>Greta Grove</t>
        </is>
      </c>
      <c r="G302" s="15" t="inlineStr">
        <is>
          <t>SEO Plan</t>
        </is>
      </c>
      <c r="H302" s="15" t="inlineStr">
        <is>
          <t>A research-based SEO plan for Greta Grove.</t>
        </is>
      </c>
      <c r="I302" s="14" t="inlineStr">
        <is>
          <t>review</t>
        </is>
      </c>
      <c r="J302" s="9" t="n">
        <v>0</v>
      </c>
      <c r="K302" s="9" t="n">
        <v>0.1145833333333333</v>
      </c>
      <c r="L302" s="9">
        <f>J302+K302</f>
        <v/>
      </c>
      <c r="M302" s="9" t="n">
        <v>0.15625</v>
      </c>
    </row>
    <row r="303">
      <c r="A303" s="14" t="inlineStr">
        <is>
          <t>2026-08-17</t>
        </is>
      </c>
      <c r="B303" s="14" t="inlineStr">
        <is>
          <t>Wk3  17 Aug–23 Aug</t>
        </is>
      </c>
      <c r="C303" s="14" t="inlineStr">
        <is>
          <t>SEO</t>
        </is>
      </c>
      <c r="D303" s="14" t="inlineStr">
        <is>
          <t>Yasir birlas</t>
        </is>
      </c>
      <c r="E303" s="14" t="inlineStr">
        <is>
          <t>Digital Marketing Executive</t>
        </is>
      </c>
      <c r="F303" s="14" t="inlineStr">
        <is>
          <t>Bright Amber</t>
        </is>
      </c>
      <c r="G303" s="15" t="inlineStr">
        <is>
          <t>Cookie Audit and Consent Banner</t>
        </is>
      </c>
      <c r="H303" s="15" t="inlineStr">
        <is>
          <t>Auditing cookies and adding a compliant consent banner.</t>
        </is>
      </c>
      <c r="I303" s="14" t="inlineStr">
        <is>
          <t>review</t>
        </is>
      </c>
      <c r="J303" s="9" t="n">
        <v>0</v>
      </c>
      <c r="K303" s="9" t="n">
        <v>0</v>
      </c>
      <c r="L303" s="9">
        <f>J303+K303</f>
        <v/>
      </c>
      <c r="M303" s="9" t="n">
        <v>0.2916666666666667</v>
      </c>
    </row>
    <row r="304">
      <c r="A304" s="14" t="inlineStr">
        <is>
          <t>2026-08-17</t>
        </is>
      </c>
      <c r="B304" s="14" t="inlineStr">
        <is>
          <t>Wk3  17 Aug–23 Aug</t>
        </is>
      </c>
      <c r="C304" s="14" t="inlineStr">
        <is>
          <t>SEO</t>
        </is>
      </c>
      <c r="D304" s="14" t="inlineStr">
        <is>
          <t>Yasir birlas</t>
        </is>
      </c>
      <c r="E304" s="14" t="inlineStr">
        <is>
          <t>Digital Marketing Executive</t>
        </is>
      </c>
      <c r="F304" s="14" t="inlineStr">
        <is>
          <t>Bright Amber</t>
        </is>
      </c>
      <c r="G304" s="15" t="inlineStr">
        <is>
          <t>SEO Amendments</t>
        </is>
      </c>
      <c r="H304" s="15" t="inlineStr">
        <is>
          <t>Making the SEO changes listed in the subtasks.</t>
        </is>
      </c>
      <c r="I304" s="14" t="inlineStr">
        <is>
          <t>completed</t>
        </is>
      </c>
      <c r="J304" s="9" t="n">
        <v>0</v>
      </c>
      <c r="K304" s="9" t="n">
        <v>0</v>
      </c>
      <c r="L304" s="9">
        <f>J304+K304</f>
        <v/>
      </c>
      <c r="M304" s="9" t="n">
        <v>0.2916666666666667</v>
      </c>
    </row>
    <row r="305">
      <c r="A305" s="14" t="inlineStr">
        <is>
          <t>2026-08-17</t>
        </is>
      </c>
      <c r="B305" s="14" t="inlineStr">
        <is>
          <t>Wk3  17 Aug–23 Aug</t>
        </is>
      </c>
      <c r="C305" s="14" t="inlineStr">
        <is>
          <t>SEO</t>
        </is>
      </c>
      <c r="D305" s="14" t="inlineStr">
        <is>
          <t>Yasir birlas</t>
        </is>
      </c>
      <c r="E305" s="14" t="inlineStr">
        <is>
          <t>Digital Marketing Executive</t>
        </is>
      </c>
      <c r="F305" s="14" t="inlineStr">
        <is>
          <t>Linknbit</t>
        </is>
      </c>
      <c r="G305" s="15" t="inlineStr">
        <is>
          <t>SEO Plan for Linknbit Website</t>
        </is>
      </c>
      <c r="H305" s="15" t="inlineStr">
        <is>
          <t>Writing a full SEO plan for our own website.</t>
        </is>
      </c>
      <c r="I305" s="14" t="inlineStr">
        <is>
          <t>review</t>
        </is>
      </c>
      <c r="J305" s="9" t="n">
        <v>0</v>
      </c>
      <c r="K305" s="9" t="n">
        <v>0</v>
      </c>
      <c r="L305" s="9">
        <f>J305+K305</f>
        <v/>
      </c>
      <c r="M305" s="9" t="n">
        <v>0.25</v>
      </c>
    </row>
    <row r="306">
      <c r="A306" s="14" t="inlineStr">
        <is>
          <t>2026-08-24</t>
        </is>
      </c>
      <c r="B306" s="14" t="inlineStr">
        <is>
          <t>Wk4  24 Aug–30 Aug</t>
        </is>
      </c>
      <c r="C306" s="14" t="inlineStr">
        <is>
          <t>SEO</t>
        </is>
      </c>
      <c r="D306" s="14" t="inlineStr">
        <is>
          <t>Yasir birlas</t>
        </is>
      </c>
      <c r="E306" s="14" t="inlineStr">
        <is>
          <t>Digital Marketing Executive</t>
        </is>
      </c>
      <c r="F306" s="14" t="inlineStr">
        <is>
          <t>Linknbit</t>
        </is>
      </c>
      <c r="G306" s="15" t="inlineStr">
        <is>
          <t>Content creation for the website</t>
        </is>
      </c>
      <c r="H306" s="15" t="inlineStr">
        <is>
          <t>Writing SEO-focused website copy.</t>
        </is>
      </c>
      <c r="I306" s="14" t="inlineStr">
        <is>
          <t>blocked</t>
        </is>
      </c>
      <c r="J306" s="9" t="n">
        <v>0</v>
      </c>
      <c r="K306" s="9" t="n">
        <v>0</v>
      </c>
      <c r="L306" s="9">
        <f>J306+K306</f>
        <v/>
      </c>
      <c r="M306" s="9" t="n">
        <v>0.1666666666666667</v>
      </c>
    </row>
    <row r="307">
      <c r="A307" s="14" t="inlineStr">
        <is>
          <t>2026-08-24</t>
        </is>
      </c>
      <c r="B307" s="14" t="inlineStr">
        <is>
          <t>Wk4  24 Aug–30 Aug</t>
        </is>
      </c>
      <c r="C307" s="14" t="inlineStr">
        <is>
          <t>SEO</t>
        </is>
      </c>
      <c r="D307" s="14" t="inlineStr">
        <is>
          <t>Yasir birlas</t>
        </is>
      </c>
      <c r="E307" s="14" t="inlineStr">
        <is>
          <t>Digital Marketing Executive</t>
        </is>
      </c>
      <c r="F307" s="14" t="inlineStr">
        <is>
          <t>Bright Amber</t>
        </is>
      </c>
      <c r="G307" s="15" t="inlineStr">
        <is>
          <t>SEO Amendments</t>
        </is>
      </c>
      <c r="H307" s="15" t="inlineStr">
        <is>
          <t>Making the SEO changes listed in the subtasks.</t>
        </is>
      </c>
      <c r="I307" s="14" t="inlineStr">
        <is>
          <t>completed</t>
        </is>
      </c>
      <c r="J307" s="9" t="n">
        <v>0</v>
      </c>
      <c r="K307" s="9" t="n">
        <v>0</v>
      </c>
      <c r="L307" s="9">
        <f>J307+K307</f>
        <v/>
      </c>
      <c r="M307" s="9" t="n">
        <v>0.04166666666666666</v>
      </c>
    </row>
    <row r="308">
      <c r="A308" s="14" t="inlineStr">
        <is>
          <t>2026-08-24</t>
        </is>
      </c>
      <c r="B308" s="14" t="inlineStr">
        <is>
          <t>Wk4  24 Aug–30 Aug</t>
        </is>
      </c>
      <c r="C308" s="14" t="inlineStr">
        <is>
          <t>SEO</t>
        </is>
      </c>
      <c r="D308" s="14" t="inlineStr">
        <is>
          <t>Yasir birlas</t>
        </is>
      </c>
      <c r="E308" s="14" t="inlineStr">
        <is>
          <t>Digital Marketing Executive</t>
        </is>
      </c>
      <c r="F308" s="14" t="inlineStr">
        <is>
          <t>Linknbit</t>
        </is>
      </c>
      <c r="G308" s="15" t="inlineStr">
        <is>
          <t>SEO Plan for Linknbit Website</t>
        </is>
      </c>
      <c r="H308" s="15" t="inlineStr">
        <is>
          <t>Writing a full SEO plan for our own website.</t>
        </is>
      </c>
      <c r="I308" s="14" t="inlineStr">
        <is>
          <t>review</t>
        </is>
      </c>
      <c r="J308" s="9" t="n">
        <v>0</v>
      </c>
      <c r="K308" s="9" t="n">
        <v>0</v>
      </c>
      <c r="L308" s="9">
        <f>J308+K308</f>
        <v/>
      </c>
      <c r="M308" s="9" t="n">
        <v>0.08333333333333333</v>
      </c>
    </row>
    <row r="309">
      <c r="A309" s="14" t="inlineStr">
        <is>
          <t>2026-08-24</t>
        </is>
      </c>
      <c r="B309" s="14" t="inlineStr">
        <is>
          <t>Wk4  24 Aug–30 Aug</t>
        </is>
      </c>
      <c r="C309" s="14" t="inlineStr">
        <is>
          <t>SEO</t>
        </is>
      </c>
      <c r="D309" s="14" t="inlineStr">
        <is>
          <t>Yasir birlas</t>
        </is>
      </c>
      <c r="E309" s="14" t="inlineStr">
        <is>
          <t>Digital Marketing Executive</t>
        </is>
      </c>
      <c r="F309" s="14" t="inlineStr">
        <is>
          <t>Rise of Burges</t>
        </is>
      </c>
      <c r="G309" s="15" t="inlineStr">
        <is>
          <t>Translate Meta Description</t>
        </is>
      </c>
      <c r="H309" s="15" t="inlineStr">
        <is>
          <t>Translating every page's meta description into Dutch.</t>
        </is>
      </c>
      <c r="I309" s="14" t="inlineStr">
        <is>
          <t>completed</t>
        </is>
      </c>
      <c r="J309" s="9" t="n">
        <v>0</v>
      </c>
      <c r="K309" s="9" t="n">
        <v>0</v>
      </c>
      <c r="L309" s="9">
        <f>J309+K309</f>
        <v/>
      </c>
      <c r="M309" s="9" t="n">
        <v>0.08333333333333333</v>
      </c>
    </row>
    <row r="310">
      <c r="A310" s="14" t="inlineStr">
        <is>
          <t>2026-08-24</t>
        </is>
      </c>
      <c r="B310" s="14" t="inlineStr">
        <is>
          <t>Wk4  24 Aug–30 Aug</t>
        </is>
      </c>
      <c r="C310" s="14" t="inlineStr">
        <is>
          <t>SEO</t>
        </is>
      </c>
      <c r="D310" s="14" t="inlineStr">
        <is>
          <t>Yasir birlas</t>
        </is>
      </c>
      <c r="E310" s="14" t="inlineStr">
        <is>
          <t>Digital Marketing Executive</t>
        </is>
      </c>
      <c r="F310" s="14" t="inlineStr">
        <is>
          <t>Dansing Academy</t>
        </is>
      </c>
      <c r="G310" s="15" t="inlineStr">
        <is>
          <t>Website Amendments</t>
        </is>
      </c>
      <c r="H310" s="15" t="inlineStr">
        <is>
          <t>Making the website changes the client listed in a document.</t>
        </is>
      </c>
      <c r="I310" s="14" t="inlineStr">
        <is>
          <t>completed</t>
        </is>
      </c>
      <c r="J310" s="9" t="n">
        <v>0</v>
      </c>
      <c r="K310" s="9" t="n">
        <v>0</v>
      </c>
      <c r="L310" s="9">
        <f>J310+K310</f>
        <v/>
      </c>
      <c r="M310" s="9" t="n">
        <v>0.3333333333333333</v>
      </c>
    </row>
    <row r="311">
      <c r="A311" s="14" t="inlineStr">
        <is>
          <t>2026-08-31</t>
        </is>
      </c>
      <c r="B311" s="14" t="inlineStr">
        <is>
          <t>Wk5  31 Aug–06 Sep</t>
        </is>
      </c>
      <c r="C311" s="14" t="inlineStr">
        <is>
          <t>SEO</t>
        </is>
      </c>
      <c r="D311" s="14" t="inlineStr">
        <is>
          <t>Yasir birlas</t>
        </is>
      </c>
      <c r="E311" s="14" t="inlineStr">
        <is>
          <t>Digital Marketing Executive</t>
        </is>
      </c>
      <c r="F311" s="14" t="inlineStr">
        <is>
          <t>Bright Amber</t>
        </is>
      </c>
      <c r="G311" s="15" t="inlineStr">
        <is>
          <t>Cookie Audit and Consent Banner</t>
        </is>
      </c>
      <c r="H311" s="15" t="inlineStr">
        <is>
          <t>Auditing cookies and adding a compliant consent banner.</t>
        </is>
      </c>
      <c r="I311" s="14" t="inlineStr">
        <is>
          <t>review</t>
        </is>
      </c>
      <c r="J311" s="9" t="n">
        <v>0.04513888888888889</v>
      </c>
      <c r="K311" s="9" t="n">
        <v>0</v>
      </c>
      <c r="L311" s="9">
        <f>J311+K311</f>
        <v/>
      </c>
      <c r="M311" s="9" t="n">
        <v>0.1145833333333333</v>
      </c>
    </row>
    <row r="312">
      <c r="A312" s="14" t="inlineStr">
        <is>
          <t>2026-08-31</t>
        </is>
      </c>
      <c r="B312" s="14" t="inlineStr">
        <is>
          <t>Wk5  31 Aug–06 Sep</t>
        </is>
      </c>
      <c r="C312" s="14" t="inlineStr">
        <is>
          <t>SEO</t>
        </is>
      </c>
      <c r="D312" s="14" t="inlineStr">
        <is>
          <t>Yasir birlas</t>
        </is>
      </c>
      <c r="E312" s="14" t="inlineStr">
        <is>
          <t>Digital Marketing Executive</t>
        </is>
      </c>
      <c r="F312" s="14" t="inlineStr">
        <is>
          <t>Bright Amber</t>
        </is>
      </c>
      <c r="G312" s="15" t="inlineStr">
        <is>
          <t>SEO Amendments</t>
        </is>
      </c>
      <c r="H312" s="15" t="inlineStr">
        <is>
          <t>Making the SEO changes listed in the subtasks.</t>
        </is>
      </c>
      <c r="I312" s="14" t="inlineStr">
        <is>
          <t>completed</t>
        </is>
      </c>
      <c r="J312" s="9" t="n">
        <v>0.02083333333333333</v>
      </c>
      <c r="K312" s="9" t="n">
        <v>0</v>
      </c>
      <c r="L312" s="9">
        <f>J312+K312</f>
        <v/>
      </c>
      <c r="M312" s="9" t="n">
        <v>0.1180555555555556</v>
      </c>
    </row>
    <row r="313">
      <c r="A313" s="14" t="inlineStr">
        <is>
          <t>2026-08-31</t>
        </is>
      </c>
      <c r="B313" s="14" t="inlineStr">
        <is>
          <t>Wk5  31 Aug–06 Sep</t>
        </is>
      </c>
      <c r="C313" s="14" t="inlineStr">
        <is>
          <t>SEO</t>
        </is>
      </c>
      <c r="D313" s="14" t="inlineStr">
        <is>
          <t>Yasir birlas</t>
        </is>
      </c>
      <c r="E313" s="14" t="inlineStr">
        <is>
          <t>Digital Marketing Executive</t>
        </is>
      </c>
      <c r="F313" s="14" t="inlineStr">
        <is>
          <t>Rise of Burges</t>
        </is>
      </c>
      <c r="G313" s="15" t="inlineStr">
        <is>
          <t>Translate Meta Description</t>
        </is>
      </c>
      <c r="H313" s="15" t="inlineStr">
        <is>
          <t>Translating every page's meta description into Dutch.</t>
        </is>
      </c>
      <c r="I313" s="14" t="inlineStr">
        <is>
          <t>completed</t>
        </is>
      </c>
      <c r="J313" s="9" t="n">
        <v>0</v>
      </c>
      <c r="K313" s="9" t="n">
        <v>0</v>
      </c>
      <c r="L313" s="9">
        <f>J313+K313</f>
        <v/>
      </c>
      <c r="M313" s="9" t="n">
        <v>0</v>
      </c>
    </row>
    <row r="314">
      <c r="A314" s="14" t="inlineStr">
        <is>
          <t>2026-08-31</t>
        </is>
      </c>
      <c r="B314" s="14" t="inlineStr">
        <is>
          <t>Wk5  31 Aug–06 Sep</t>
        </is>
      </c>
      <c r="C314" s="14" t="inlineStr">
        <is>
          <t>SEO</t>
        </is>
      </c>
      <c r="D314" s="14" t="inlineStr">
        <is>
          <t>Yasir birlas</t>
        </is>
      </c>
      <c r="E314" s="14" t="inlineStr">
        <is>
          <t>Digital Marketing Executive</t>
        </is>
      </c>
      <c r="F314" s="14" t="inlineStr">
        <is>
          <t>Dansing Academy</t>
        </is>
      </c>
      <c r="G314" s="15" t="inlineStr">
        <is>
          <t>Website Amendments</t>
        </is>
      </c>
      <c r="H314" s="15" t="inlineStr">
        <is>
          <t>Making the website changes the client listed in a document.</t>
        </is>
      </c>
      <c r="I314" s="14" t="inlineStr">
        <is>
          <t>completed</t>
        </is>
      </c>
      <c r="J314" s="9" t="n">
        <v>0</v>
      </c>
      <c r="K314" s="9" t="n">
        <v>0</v>
      </c>
      <c r="L314" s="9">
        <f>J314+K314</f>
        <v/>
      </c>
      <c r="M314" s="9" t="n">
        <v>0.06597222222222222</v>
      </c>
    </row>
    <row r="315">
      <c r="A315" s="14" t="inlineStr">
        <is>
          <t>2026-09-14</t>
        </is>
      </c>
      <c r="B315" s="14" t="inlineStr">
        <is>
          <t>Wk7  14 Sep–20 Sep</t>
        </is>
      </c>
      <c r="C315" s="14" t="inlineStr">
        <is>
          <t>SEO</t>
        </is>
      </c>
      <c r="D315" s="14" t="inlineStr">
        <is>
          <t>Yasir birlas</t>
        </is>
      </c>
      <c r="E315" s="14" t="inlineStr">
        <is>
          <t>Digital Marketing Executive</t>
        </is>
      </c>
      <c r="F315" s="14" t="inlineStr">
        <is>
          <t>Starr Luxury Jets</t>
        </is>
      </c>
      <c r="G315" s="15" t="inlineStr">
        <is>
          <t>Home Page Content Writing</t>
        </is>
      </c>
      <c r="H315" s="15" t="inlineStr">
        <is>
          <t>Writing the homepage copy to drive quote requests.</t>
        </is>
      </c>
      <c r="I315" s="14" t="inlineStr">
        <is>
          <t>backlog</t>
        </is>
      </c>
      <c r="J315" s="9" t="n">
        <v>0</v>
      </c>
      <c r="K315" s="9" t="n">
        <v>0.2013888888888889</v>
      </c>
      <c r="L315" s="9">
        <f>J315+K315</f>
        <v/>
      </c>
      <c r="M315" s="9" t="n">
        <v>0</v>
      </c>
    </row>
    <row r="316">
      <c r="A316" s="14" t="inlineStr">
        <is>
          <t>2026-09-14</t>
        </is>
      </c>
      <c r="B316" s="14" t="inlineStr">
        <is>
          <t>Wk7  14 Sep–20 Sep</t>
        </is>
      </c>
      <c r="C316" s="14" t="inlineStr">
        <is>
          <t>SEO</t>
        </is>
      </c>
      <c r="D316" s="14" t="inlineStr">
        <is>
          <t>Yasir birlas</t>
        </is>
      </c>
      <c r="E316" s="14" t="inlineStr">
        <is>
          <t>Digital Marketing Executive</t>
        </is>
      </c>
      <c r="F316" s="14" t="inlineStr">
        <is>
          <t>Starr Luxury Jets</t>
        </is>
      </c>
      <c r="G316" s="15" t="inlineStr">
        <is>
          <t>Pravite Charter Jet  (How It Works) - CW</t>
        </is>
      </c>
      <c r="H316" s="15" t="inlineStr">
        <is>
          <t>Copy explaining the charter process to first-time flyers.</t>
        </is>
      </c>
      <c r="I316" s="14" t="inlineStr">
        <is>
          <t>backlog</t>
        </is>
      </c>
      <c r="J316" s="9" t="n">
        <v>0</v>
      </c>
      <c r="K316" s="9" t="n">
        <v>0.1284722222222222</v>
      </c>
      <c r="L316" s="9">
        <f>J316+K316</f>
        <v/>
      </c>
      <c r="M316" s="9" t="n">
        <v>0</v>
      </c>
    </row>
    <row r="317">
      <c r="A317" s="14" t="inlineStr">
        <is>
          <t>2026-08-17</t>
        </is>
      </c>
      <c r="B317" s="14" t="inlineStr">
        <is>
          <t>Wk3  17 Aug–23 Aug</t>
        </is>
      </c>
      <c r="C317" s="14" t="inlineStr">
        <is>
          <t>Support</t>
        </is>
      </c>
      <c r="D317" s="14" t="inlineStr">
        <is>
          <t>Muhammad Yahya</t>
        </is>
      </c>
      <c r="E317" s="14" t="inlineStr">
        <is>
          <t>Software Engineer I</t>
        </is>
      </c>
      <c r="F317" s="14" t="inlineStr">
        <is>
          <t>Builders Trade Depot</t>
        </is>
      </c>
      <c r="G317" s="15" t="inlineStr">
        <is>
          <t>Products Title Scraping</t>
        </is>
      </c>
      <c r="H317" s="15" t="inlineStr">
        <is>
          <t>Scraping 270 product titles from two supplier sites.</t>
        </is>
      </c>
      <c r="I317" s="14" t="inlineStr">
        <is>
          <t>approved</t>
        </is>
      </c>
      <c r="J317" s="9" t="n">
        <v>0.1131944444444444</v>
      </c>
      <c r="K317" s="9" t="n">
        <v>0</v>
      </c>
      <c r="L317" s="9">
        <f>J317+K317</f>
        <v/>
      </c>
      <c r="M317" s="9" t="n">
        <v>0.08333333333333333</v>
      </c>
    </row>
    <row r="318">
      <c r="A318" s="14" t="inlineStr">
        <is>
          <t>2026-08-17</t>
        </is>
      </c>
      <c r="B318" s="14" t="inlineStr">
        <is>
          <t>Wk3  17 Aug–23 Aug</t>
        </is>
      </c>
      <c r="C318" s="14" t="inlineStr">
        <is>
          <t>Support</t>
        </is>
      </c>
      <c r="D318" s="14" t="inlineStr">
        <is>
          <t>Muhammad Yahya</t>
        </is>
      </c>
      <c r="E318" s="14" t="inlineStr">
        <is>
          <t>Software Engineer I</t>
        </is>
      </c>
      <c r="F318" s="14" t="inlineStr">
        <is>
          <t>Builders Trade Depot</t>
        </is>
      </c>
      <c r="G318" s="15" t="inlineStr">
        <is>
          <t>Upload Taps related products on the website</t>
        </is>
      </c>
      <c r="H318" s="15" t="inlineStr">
        <is>
          <t>Uploading tap products into their correct subcategories.</t>
        </is>
      </c>
      <c r="I318" s="14" t="inlineStr">
        <is>
          <t>approved</t>
        </is>
      </c>
      <c r="J318" s="9" t="n">
        <v>0.3743055555555556</v>
      </c>
      <c r="K318" s="9" t="n">
        <v>0.07291666666666667</v>
      </c>
      <c r="L318" s="9">
        <f>J318+K318</f>
        <v/>
      </c>
      <c r="M318" s="9" t="n">
        <v>0.125</v>
      </c>
    </row>
    <row r="319">
      <c r="A319" s="14" t="inlineStr">
        <is>
          <t>2026-08-17</t>
        </is>
      </c>
      <c r="B319" s="14" t="inlineStr">
        <is>
          <t>Wk3  17 Aug–23 Aug</t>
        </is>
      </c>
      <c r="C319" s="14" t="inlineStr">
        <is>
          <t>Support</t>
        </is>
      </c>
      <c r="D319" s="14" t="inlineStr">
        <is>
          <t>Sajawal Khan</t>
        </is>
      </c>
      <c r="E319" s="14" t="inlineStr">
        <is>
          <t>Web Content Specialist</t>
        </is>
      </c>
      <c r="F319" s="14" t="inlineStr">
        <is>
          <t>Builders Trade Depot</t>
        </is>
      </c>
      <c r="G319" s="15" t="inlineStr">
        <is>
          <t>Products Title Scraping</t>
        </is>
      </c>
      <c r="H319" s="15" t="inlineStr">
        <is>
          <t>Scraping 270 product titles from two supplier sites.</t>
        </is>
      </c>
      <c r="I319" s="14" t="inlineStr">
        <is>
          <t>approved</t>
        </is>
      </c>
      <c r="J319" s="9" t="n">
        <v>0</v>
      </c>
      <c r="K319" s="9" t="n">
        <v>0</v>
      </c>
      <c r="L319" s="9">
        <f>J319+K319</f>
        <v/>
      </c>
      <c r="M319" s="9" t="n">
        <v>0.2083333333333333</v>
      </c>
    </row>
    <row r="320">
      <c r="A320" s="14" t="inlineStr">
        <is>
          <t>2026-08-17</t>
        </is>
      </c>
      <c r="B320" s="14" t="inlineStr">
        <is>
          <t>Wk3  17 Aug–23 Aug</t>
        </is>
      </c>
      <c r="C320" s="14" t="inlineStr">
        <is>
          <t>Support</t>
        </is>
      </c>
      <c r="D320" s="14" t="inlineStr">
        <is>
          <t>Sajawal Khan</t>
        </is>
      </c>
      <c r="E320" s="14" t="inlineStr">
        <is>
          <t>Web Content Specialist</t>
        </is>
      </c>
      <c r="F320" s="14" t="inlineStr">
        <is>
          <t>Builders Trade Depot</t>
        </is>
      </c>
      <c r="G320" s="15" t="inlineStr">
        <is>
          <t>Upload Taps related products on the website</t>
        </is>
      </c>
      <c r="H320" s="15" t="inlineStr">
        <is>
          <t>Uploading tap products into their correct subcategories.</t>
        </is>
      </c>
      <c r="I320" s="14" t="inlineStr">
        <is>
          <t>approved</t>
        </is>
      </c>
      <c r="J320" s="9" t="n">
        <v>0.6027777777777777</v>
      </c>
      <c r="K320" s="9" t="n">
        <v>0</v>
      </c>
      <c r="L320" s="9">
        <f>J320+K320</f>
        <v/>
      </c>
      <c r="M320" s="9" t="n">
        <v>0</v>
      </c>
    </row>
  </sheetData>
  <autoFilter ref="A1:M3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4" customWidth="1" min="4" max="4"/>
    <col width="54" customWidth="1" min="5" max="5"/>
    <col width="12" customWidth="1" min="6" max="6"/>
    <col width="9" customWidth="1" min="7" max="7"/>
    <col width="9" customWidth="1" min="8" max="8"/>
    <col width="11" customWidth="1" min="9" max="9"/>
    <col width="10" customWidth="1" min="10" max="10"/>
    <col width="11" customWidth="1" min="11" max="11"/>
  </cols>
  <sheetData>
    <row r="1">
      <c r="A1" s="6" t="inlineStr">
        <is>
          <t>Development — task detail by week</t>
        </is>
      </c>
    </row>
    <row r="3" ht="30" customHeight="1">
      <c r="A3" s="7" t="inlineStr">
        <is>
          <t>Week</t>
        </is>
      </c>
      <c r="B3" s="7" t="inlineStr">
        <is>
          <t>Developer</t>
        </is>
      </c>
      <c r="C3" s="7" t="inlineStr">
        <is>
          <t>Project</t>
        </is>
      </c>
      <c r="D3" s="7" t="inlineStr">
        <is>
          <t>Task</t>
        </is>
      </c>
      <c r="E3" s="7" t="inlineStr">
        <is>
          <t>What it means (plain English)</t>
        </is>
      </c>
      <c r="F3" s="7" t="inlineStr">
        <is>
          <t>Status</t>
        </is>
      </c>
      <c r="G3" s="7" t="inlineStr">
        <is>
          <t>Timer h</t>
        </is>
      </c>
      <c r="H3" s="7" t="inlineStr">
        <is>
          <t>Manual h</t>
        </is>
      </c>
      <c r="I3" s="7" t="inlineStr">
        <is>
          <t>Timer total</t>
        </is>
      </c>
      <c r="J3" s="7" t="inlineStr">
        <is>
          <t>Standup h</t>
        </is>
      </c>
      <c r="K3" s="7" t="inlineStr">
        <is>
          <t>Difference</t>
        </is>
      </c>
    </row>
    <row r="4">
      <c r="A4" s="16" t="inlineStr">
        <is>
          <t>Wk1  03 Aug–09 Aug</t>
        </is>
      </c>
      <c r="B4" s="16" t="inlineStr">
        <is>
          <t>ADMIN</t>
        </is>
      </c>
      <c r="C4" s="16" t="inlineStr">
        <is>
          <t>Linknbit Portal</t>
        </is>
      </c>
      <c r="D4" s="17" t="inlineStr">
        <is>
          <t>Add tasks/status</t>
        </is>
      </c>
      <c r="E4" s="17" t="inlineStr">
        <is>
          <t>Portal feature: manage task statuses in settings, like services.</t>
        </is>
      </c>
      <c r="F4" s="16" t="inlineStr">
        <is>
          <t>approved</t>
        </is>
      </c>
      <c r="G4" s="18" t="n">
        <v>0</v>
      </c>
      <c r="H4" s="18" t="n">
        <v>0</v>
      </c>
      <c r="I4" s="18">
        <f>G4+H4</f>
        <v/>
      </c>
      <c r="J4" s="18" t="n">
        <v>0</v>
      </c>
      <c r="K4" s="19">
        <f>IF(J4&gt;=I4,"+","-")&amp;TEXT(ABS(J4-I4),"[h]""h"" mm""m""")</f>
        <v/>
      </c>
    </row>
    <row r="5">
      <c r="A5" s="16" t="inlineStr">
        <is>
          <t>Wk1  03 Aug–09 Aug</t>
        </is>
      </c>
      <c r="B5" s="16" t="inlineStr">
        <is>
          <t>ADMIN</t>
        </is>
      </c>
      <c r="C5" s="16" t="inlineStr">
        <is>
          <t>Linknbit Portal</t>
        </is>
      </c>
      <c r="D5" s="17" t="inlineStr">
        <is>
          <t>create and delete message permission</t>
        </is>
      </c>
      <c r="E5" s="17" t="inlineStr">
        <is>
          <t>Portal: merging message permissions into channel administration.</t>
        </is>
      </c>
      <c r="F5" s="16" t="inlineStr">
        <is>
          <t>approved</t>
        </is>
      </c>
      <c r="G5" s="18" t="n">
        <v>0</v>
      </c>
      <c r="H5" s="18" t="n">
        <v>0.08333333333333333</v>
      </c>
      <c r="I5" s="18">
        <f>G5+H5</f>
        <v/>
      </c>
      <c r="J5" s="18" t="n">
        <v>0</v>
      </c>
      <c r="K5" s="19">
        <f>IF(J5&gt;=I5,"+","-")&amp;TEXT(ABS(J5-I5),"[h]""h"" mm""m""")</f>
        <v/>
      </c>
    </row>
    <row r="6">
      <c r="A6" s="16" t="inlineStr">
        <is>
          <t>Wk1  03 Aug–09 Aug</t>
        </is>
      </c>
      <c r="B6" s="16" t="inlineStr">
        <is>
          <t>ADMIN</t>
        </is>
      </c>
      <c r="C6" s="16" t="inlineStr">
        <is>
          <t>Linknbit Portal</t>
        </is>
      </c>
      <c r="D6" s="17" t="inlineStr">
        <is>
          <t>numbering UI</t>
        </is>
      </c>
      <c r="E6" s="17" t="inlineStr">
        <is>
          <t>Portal: numbered list formatting in the editor.</t>
        </is>
      </c>
      <c r="F6" s="16" t="inlineStr">
        <is>
          <t>completed</t>
        </is>
      </c>
      <c r="G6" s="18" t="n">
        <v>0</v>
      </c>
      <c r="H6" s="18" t="n">
        <v>0</v>
      </c>
      <c r="I6" s="18">
        <f>G6+H6</f>
        <v/>
      </c>
      <c r="J6" s="18" t="n">
        <v>0</v>
      </c>
      <c r="K6" s="19">
        <f>IF(J6&gt;=I6,"+","-")&amp;TEXT(ABS(J6-I6),"[h]""h"" mm""m""")</f>
        <v/>
      </c>
    </row>
    <row r="7">
      <c r="A7" s="16" t="inlineStr">
        <is>
          <t>Wk1  03 Aug–09 Aug</t>
        </is>
      </c>
      <c r="B7" s="16" t="inlineStr">
        <is>
          <t>Abbas Khan</t>
        </is>
      </c>
      <c r="C7" s="16" t="inlineStr">
        <is>
          <t>Greta Grove</t>
        </is>
      </c>
      <c r="D7" s="17" t="inlineStr">
        <is>
          <t>Customer Dashboard</t>
        </is>
      </c>
      <c r="E7" s="17" t="inlineStr">
        <is>
          <t>A customer account area: order history and profile details.</t>
        </is>
      </c>
      <c r="F7" s="16" t="inlineStr">
        <is>
          <t>completed</t>
        </is>
      </c>
      <c r="G7" s="18" t="n">
        <v>0.1430555555555555</v>
      </c>
      <c r="H7" s="18" t="n">
        <v>0</v>
      </c>
      <c r="I7" s="18">
        <f>G7+H7</f>
        <v/>
      </c>
      <c r="J7" s="18" t="n">
        <v>0</v>
      </c>
      <c r="K7" s="19">
        <f>IF(J7&gt;=I7,"+","-")&amp;TEXT(ABS(J7-I7),"[h]""h"" mm""m""")</f>
        <v/>
      </c>
    </row>
    <row r="8">
      <c r="A8" s="16" t="inlineStr">
        <is>
          <t>Wk1  03 Aug–09 Aug</t>
        </is>
      </c>
      <c r="B8" s="16" t="inlineStr">
        <is>
          <t>Muhammad Yahya</t>
        </is>
      </c>
      <c r="C8" s="16" t="inlineStr">
        <is>
          <t>Zedan</t>
        </is>
      </c>
      <c r="D8" s="17" t="inlineStr">
        <is>
          <t>Zedan - Responsive Design Fixes</t>
        </is>
      </c>
      <c r="E8" s="17" t="inlineStr">
        <is>
          <t>Fixing layout across desktop, tablet and mobile.</t>
        </is>
      </c>
      <c r="F8" s="16" t="inlineStr">
        <is>
          <t>approved</t>
        </is>
      </c>
      <c r="G8" s="18" t="n">
        <v>0.06805555555555555</v>
      </c>
      <c r="H8" s="18" t="n">
        <v>0</v>
      </c>
      <c r="I8" s="18">
        <f>G8+H8</f>
        <v/>
      </c>
      <c r="J8" s="18" t="n">
        <v>0</v>
      </c>
      <c r="K8" s="19">
        <f>IF(J8&gt;=I8,"+","-")&amp;TEXT(ABS(J8-I8),"[h]""h"" mm""m""")</f>
        <v/>
      </c>
    </row>
    <row r="9">
      <c r="A9" s="16" t="inlineStr">
        <is>
          <t>Wk1  03 Aug–09 Aug</t>
        </is>
      </c>
      <c r="B9" s="16" t="inlineStr">
        <is>
          <t>Muhammad Yahya</t>
        </is>
      </c>
      <c r="C9" s="16" t="inlineStr">
        <is>
          <t>Zedan</t>
        </is>
      </c>
      <c r="D9" s="17" t="inlineStr">
        <is>
          <t>Zedan Q/A Fixes</t>
        </is>
      </c>
      <c r="E9" s="17" t="inlineStr">
        <is>
          <t>Fixing issues found during quality testing.</t>
        </is>
      </c>
      <c r="F9" s="16" t="inlineStr">
        <is>
          <t>completed</t>
        </is>
      </c>
      <c r="G9" s="18" t="n">
        <v>0.1409722222222222</v>
      </c>
      <c r="H9" s="18" t="n">
        <v>0</v>
      </c>
      <c r="I9" s="18">
        <f>G9+H9</f>
        <v/>
      </c>
      <c r="J9" s="18" t="n">
        <v>0</v>
      </c>
      <c r="K9" s="19">
        <f>IF(J9&gt;=I9,"+","-")&amp;TEXT(ABS(J9-I9),"[h]""h"" mm""m""")</f>
        <v/>
      </c>
    </row>
    <row r="10">
      <c r="A10" s="16" t="inlineStr">
        <is>
          <t>Wk1  03 Aug–09 Aug</t>
        </is>
      </c>
      <c r="B10" s="16" t="inlineStr">
        <is>
          <t>Zain Malik</t>
        </is>
      </c>
      <c r="C10" s="16" t="inlineStr">
        <is>
          <t>Linknbit Portal</t>
        </is>
      </c>
      <c r="D10" s="17" t="inlineStr">
        <is>
          <t>Add tasks/status</t>
        </is>
      </c>
      <c r="E10" s="17" t="inlineStr">
        <is>
          <t>Portal feature: manage task statuses in settings, like services.</t>
        </is>
      </c>
      <c r="F10" s="16" t="inlineStr">
        <is>
          <t>approved</t>
        </is>
      </c>
      <c r="G10" s="18" t="n">
        <v>0</v>
      </c>
      <c r="H10" s="18" t="n">
        <v>0.33125</v>
      </c>
      <c r="I10" s="18">
        <f>G10+H10</f>
        <v/>
      </c>
      <c r="J10" s="18" t="n">
        <v>0</v>
      </c>
      <c r="K10" s="19">
        <f>IF(J10&gt;=I10,"+","-")&amp;TEXT(ABS(J10-I10),"[h]""h"" mm""m""")</f>
        <v/>
      </c>
    </row>
    <row r="11">
      <c r="A11" s="16" t="inlineStr">
        <is>
          <t>Wk1  03 Aug–09 Aug</t>
        </is>
      </c>
      <c r="B11" s="16" t="inlineStr">
        <is>
          <t>Zain Malik</t>
        </is>
      </c>
      <c r="C11" s="16" t="inlineStr">
        <is>
          <t>Linknbit Portal</t>
        </is>
      </c>
      <c r="D11" s="17" t="inlineStr">
        <is>
          <t>Time tracker</t>
        </is>
      </c>
      <c r="E11" s="17" t="inlineStr">
        <is>
          <t>Portal: a ClickUp-style time tracker.</t>
        </is>
      </c>
      <c r="F11" s="16" t="inlineStr">
        <is>
          <t>completed</t>
        </is>
      </c>
      <c r="G11" s="18" t="n">
        <v>0.002083333333333333</v>
      </c>
      <c r="H11" s="18" t="n">
        <v>0</v>
      </c>
      <c r="I11" s="18">
        <f>G11+H11</f>
        <v/>
      </c>
      <c r="J11" s="18" t="n">
        <v>0</v>
      </c>
      <c r="K11" s="19">
        <f>IF(J11&gt;=I11,"+","-")&amp;TEXT(ABS(J11-I11),"[h]""h"" mm""m""")</f>
        <v/>
      </c>
    </row>
    <row r="12">
      <c r="A12" s="16" t="inlineStr">
        <is>
          <t>Wk1  03 Aug–09 Aug</t>
        </is>
      </c>
      <c r="B12" s="16" t="inlineStr">
        <is>
          <t>Zain Malik</t>
        </is>
      </c>
      <c r="C12" s="16" t="inlineStr">
        <is>
          <t>Linknbit Portal</t>
        </is>
      </c>
      <c r="D12" s="17" t="inlineStr">
        <is>
          <t>me mode</t>
        </is>
      </c>
      <c r="E12" s="17" t="inlineStr">
        <is>
          <t>Portal: a 'only my items' filter, like ClickUp's.</t>
        </is>
      </c>
      <c r="F12" s="16" t="inlineStr">
        <is>
          <t>completed</t>
        </is>
      </c>
      <c r="G12" s="18" t="n">
        <v>0</v>
      </c>
      <c r="H12" s="18" t="n">
        <v>0.08333333333333333</v>
      </c>
      <c r="I12" s="18">
        <f>G12+H12</f>
        <v/>
      </c>
      <c r="J12" s="18" t="n">
        <v>0</v>
      </c>
      <c r="K12" s="19">
        <f>IF(J12&gt;=I12,"+","-")&amp;TEXT(ABS(J12-I12),"[h]""h"" mm""m""")</f>
        <v/>
      </c>
    </row>
    <row r="13">
      <c r="A13" s="16" t="inlineStr">
        <is>
          <t>Wk1  03 Aug–09 Aug</t>
        </is>
      </c>
      <c r="B13" s="16" t="inlineStr">
        <is>
          <t>Zain Malik</t>
        </is>
      </c>
      <c r="C13" s="16" t="inlineStr">
        <is>
          <t>Linknbit Portal</t>
        </is>
      </c>
      <c r="D13" s="17" t="inlineStr">
        <is>
          <t>numbering UI</t>
        </is>
      </c>
      <c r="E13" s="17" t="inlineStr">
        <is>
          <t>Portal: numbered list formatting in the editor.</t>
        </is>
      </c>
      <c r="F13" s="16" t="inlineStr">
        <is>
          <t>completed</t>
        </is>
      </c>
      <c r="G13" s="18" t="n">
        <v>0.02638888888888889</v>
      </c>
      <c r="H13" s="18" t="n">
        <v>0</v>
      </c>
      <c r="I13" s="18">
        <f>G13+H13</f>
        <v/>
      </c>
      <c r="J13" s="18" t="n">
        <v>0</v>
      </c>
      <c r="K13" s="19">
        <f>IF(J13&gt;=I13,"+","-")&amp;TEXT(ABS(J13-I13),"[h]""h"" mm""m""")</f>
        <v/>
      </c>
    </row>
    <row r="14">
      <c r="A14" s="16" t="inlineStr">
        <is>
          <t>Wk1  03 Aug–09 Aug</t>
        </is>
      </c>
      <c r="B14" s="16" t="inlineStr">
        <is>
          <t>khizer hayat</t>
        </is>
      </c>
      <c r="C14" s="16" t="inlineStr">
        <is>
          <t>Neowall</t>
        </is>
      </c>
      <c r="D14" s="17" t="inlineStr">
        <is>
          <t>Make the draft fencing live</t>
        </is>
      </c>
      <c r="E14" s="17" t="inlineStr">
        <is>
          <t>Publishing the drafted fencing page.</t>
        </is>
      </c>
      <c r="F14" s="16" t="inlineStr">
        <is>
          <t>completed</t>
        </is>
      </c>
      <c r="G14" s="18" t="n">
        <v>0.0006944444444444445</v>
      </c>
      <c r="H14" s="18" t="n">
        <v>0</v>
      </c>
      <c r="I14" s="18">
        <f>G14+H14</f>
        <v/>
      </c>
      <c r="J14" s="18" t="n">
        <v>0</v>
      </c>
      <c r="K14" s="19">
        <f>IF(J14&gt;=I14,"+","-")&amp;TEXT(ABS(J14-I14),"[h]""h"" mm""m""")</f>
        <v/>
      </c>
    </row>
    <row r="15">
      <c r="A15" s="16" t="inlineStr">
        <is>
          <t>Wk1  03 Aug–09 Aug</t>
        </is>
      </c>
      <c r="B15" s="16" t="inlineStr">
        <is>
          <t>khizer hayat</t>
        </is>
      </c>
      <c r="C15" s="16" t="inlineStr">
        <is>
          <t>Zedan</t>
        </is>
      </c>
      <c r="D15" s="17" t="inlineStr">
        <is>
          <t>Mega menu creation</t>
        </is>
      </c>
      <c r="E15" s="17" t="inlineStr">
        <is>
          <t>Building the large dropdown navigation menu.</t>
        </is>
      </c>
      <c r="F15" s="16" t="inlineStr">
        <is>
          <t>approved</t>
        </is>
      </c>
      <c r="G15" s="18" t="n">
        <v>0.1125</v>
      </c>
      <c r="H15" s="18" t="n">
        <v>0.1041666666666667</v>
      </c>
      <c r="I15" s="18">
        <f>G15+H15</f>
        <v/>
      </c>
      <c r="J15" s="18" t="n">
        <v>0</v>
      </c>
      <c r="K15" s="19">
        <f>IF(J15&gt;=I15,"+","-")&amp;TEXT(ABS(J15-I15),"[h]""h"" mm""m""")</f>
        <v/>
      </c>
    </row>
    <row r="16">
      <c r="A16" s="16" t="inlineStr">
        <is>
          <t>Wk1  03 Aug–09 Aug</t>
        </is>
      </c>
      <c r="B16" s="16" t="inlineStr">
        <is>
          <t>khizer hayat</t>
        </is>
      </c>
      <c r="C16" s="16" t="inlineStr">
        <is>
          <t>Zedan</t>
        </is>
      </c>
      <c r="D16" s="17" t="inlineStr">
        <is>
          <t>Zedan Q/A Fixes</t>
        </is>
      </c>
      <c r="E16" s="17" t="inlineStr">
        <is>
          <t>Fixing issues found during quality testing.</t>
        </is>
      </c>
      <c r="F16" s="16" t="inlineStr">
        <is>
          <t>completed</t>
        </is>
      </c>
      <c r="G16" s="18" t="n">
        <v>0.1791666666666667</v>
      </c>
      <c r="H16" s="18" t="n">
        <v>0</v>
      </c>
      <c r="I16" s="18">
        <f>G16+H16</f>
        <v/>
      </c>
      <c r="J16" s="18" t="n">
        <v>0</v>
      </c>
      <c r="K16" s="19">
        <f>IF(J16&gt;=I16,"+","-")&amp;TEXT(ABS(J16-I16),"[h]""h"" mm""m""")</f>
        <v/>
      </c>
    </row>
    <row r="17">
      <c r="A17" s="16" t="inlineStr">
        <is>
          <t>Wk2  10 Aug–16 Aug</t>
        </is>
      </c>
      <c r="B17" s="16" t="inlineStr">
        <is>
          <t>Abbas Khan</t>
        </is>
      </c>
      <c r="C17" s="16" t="inlineStr">
        <is>
          <t>Oasis Fertility</t>
        </is>
      </c>
      <c r="D17" s="17" t="inlineStr">
        <is>
          <t>Oasis: New changes/Imrpovments</t>
        </is>
      </c>
      <c r="E17" s="17" t="inlineStr">
        <is>
          <t>Changes and improvements the client asked for.</t>
        </is>
      </c>
      <c r="F17" s="16" t="inlineStr">
        <is>
          <t>approved</t>
        </is>
      </c>
      <c r="G17" s="18" t="n">
        <v>0.4347222222222222</v>
      </c>
      <c r="H17" s="18" t="n">
        <v>0</v>
      </c>
      <c r="I17" s="18">
        <f>G17+H17</f>
        <v/>
      </c>
      <c r="J17" s="18" t="n">
        <v>0</v>
      </c>
      <c r="K17" s="19">
        <f>IF(J17&gt;=I17,"+","-")&amp;TEXT(ABS(J17-I17),"[h]""h"" mm""m""")</f>
        <v/>
      </c>
    </row>
    <row r="18">
      <c r="A18" s="16" t="inlineStr">
        <is>
          <t>Wk2  10 Aug–16 Aug</t>
        </is>
      </c>
      <c r="B18" s="16" t="inlineStr">
        <is>
          <t>Muhammad Yahya</t>
        </is>
      </c>
      <c r="C18" s="16" t="inlineStr">
        <is>
          <t>Zedan</t>
        </is>
      </c>
      <c r="D18" s="17" t="inlineStr">
        <is>
          <t>Deployment + Fixes + Improvements</t>
        </is>
      </c>
      <c r="E18" s="17" t="inlineStr">
        <is>
          <t>Deploying the site plus fixes and improvements.</t>
        </is>
      </c>
      <c r="F18" s="16" t="inlineStr">
        <is>
          <t>approved</t>
        </is>
      </c>
      <c r="G18" s="18" t="n">
        <v>0.05208333333333334</v>
      </c>
      <c r="H18" s="18" t="n">
        <v>0</v>
      </c>
      <c r="I18" s="18">
        <f>G18+H18</f>
        <v/>
      </c>
      <c r="J18" s="18" t="n">
        <v>0</v>
      </c>
      <c r="K18" s="19">
        <f>IF(J18&gt;=I18,"+","-")&amp;TEXT(ABS(J18-I18),"[h]""h"" mm""m""")</f>
        <v/>
      </c>
    </row>
    <row r="19">
      <c r="A19" s="16" t="inlineStr">
        <is>
          <t>Wk2  10 Aug–16 Aug</t>
        </is>
      </c>
      <c r="B19" s="16" t="inlineStr">
        <is>
          <t>Muhammad Yahya</t>
        </is>
      </c>
      <c r="C19" s="16" t="inlineStr">
        <is>
          <t>Oasis Fertility</t>
        </is>
      </c>
      <c r="D19" s="17" t="inlineStr">
        <is>
          <t>Oasis: New changes/Imrpovments</t>
        </is>
      </c>
      <c r="E19" s="17" t="inlineStr">
        <is>
          <t>Changes and improvements the client asked for.</t>
        </is>
      </c>
      <c r="F19" s="16" t="inlineStr">
        <is>
          <t>approved</t>
        </is>
      </c>
      <c r="G19" s="18" t="n">
        <v>0.3458333333333333</v>
      </c>
      <c r="H19" s="18" t="n">
        <v>0</v>
      </c>
      <c r="I19" s="18">
        <f>G19+H19</f>
        <v/>
      </c>
      <c r="J19" s="18" t="n">
        <v>0</v>
      </c>
      <c r="K19" s="19">
        <f>IF(J19&gt;=I19,"+","-")&amp;TEXT(ABS(J19-I19),"[h]""h"" mm""m""")</f>
        <v/>
      </c>
    </row>
    <row r="20">
      <c r="A20" s="16" t="inlineStr">
        <is>
          <t>Wk2  10 Aug–16 Aug</t>
        </is>
      </c>
      <c r="B20" s="16" t="inlineStr">
        <is>
          <t>Sajawal Khan</t>
        </is>
      </c>
      <c r="C20" s="16" t="inlineStr">
        <is>
          <t>Neowall</t>
        </is>
      </c>
      <c r="D20" s="17" t="inlineStr">
        <is>
          <t>Add Co-Extrusion products in the site</t>
        </is>
      </c>
      <c r="E20" s="17" t="inlineStr">
        <is>
          <t>Adding the co-extrusion product range to the site.</t>
        </is>
      </c>
      <c r="F20" s="16" t="inlineStr">
        <is>
          <t>completed</t>
        </is>
      </c>
      <c r="G20" s="18" t="n">
        <v>0.2375</v>
      </c>
      <c r="H20" s="18" t="n">
        <v>0</v>
      </c>
      <c r="I20" s="18">
        <f>G20+H20</f>
        <v/>
      </c>
      <c r="J20" s="18" t="n">
        <v>0</v>
      </c>
      <c r="K20" s="19">
        <f>IF(J20&gt;=I20,"+","-")&amp;TEXT(ABS(J20-I20),"[h]""h"" mm""m""")</f>
        <v/>
      </c>
    </row>
    <row r="21">
      <c r="A21" s="16" t="inlineStr">
        <is>
          <t>Wk2  10 Aug–16 Aug</t>
        </is>
      </c>
      <c r="B21" s="16" t="inlineStr">
        <is>
          <t>Sajawal Khan</t>
        </is>
      </c>
      <c r="C21" s="16" t="inlineStr">
        <is>
          <t>Builders Trade Depot</t>
        </is>
      </c>
      <c r="D21" s="17" t="inlineStr">
        <is>
          <t>Add Products and Cllections</t>
        </is>
      </c>
      <c r="E21" s="17" t="inlineStr">
        <is>
          <t>Uploading products and creating a sub-collection.</t>
        </is>
      </c>
      <c r="F21" s="16" t="inlineStr">
        <is>
          <t>approved</t>
        </is>
      </c>
      <c r="G21" s="18" t="n">
        <v>0.1388888888888889</v>
      </c>
      <c r="H21" s="18" t="n">
        <v>0</v>
      </c>
      <c r="I21" s="18">
        <f>G21+H21</f>
        <v/>
      </c>
      <c r="J21" s="18" t="n">
        <v>0</v>
      </c>
      <c r="K21" s="19">
        <f>IF(J21&gt;=I21,"+","-")&amp;TEXT(ABS(J21-I21),"[h]""h"" mm""m""")</f>
        <v/>
      </c>
    </row>
    <row r="22">
      <c r="A22" s="16" t="inlineStr">
        <is>
          <t>Wk2  10 Aug–16 Aug</t>
        </is>
      </c>
      <c r="B22" s="16" t="inlineStr">
        <is>
          <t>Sajawal Khan</t>
        </is>
      </c>
      <c r="C22" s="16" t="inlineStr">
        <is>
          <t>Neowall</t>
        </is>
      </c>
      <c r="D22" s="17" t="inlineStr">
        <is>
          <t>Apply the ammendments requested by client</t>
        </is>
      </c>
      <c r="E22" s="17" t="inlineStr">
        <is>
          <t>Applying the client's requested website amendments.</t>
        </is>
      </c>
      <c r="F22" s="16" t="inlineStr">
        <is>
          <t>completed</t>
        </is>
      </c>
      <c r="G22" s="18" t="n">
        <v>0.02638888888888889</v>
      </c>
      <c r="H22" s="18" t="n">
        <v>0</v>
      </c>
      <c r="I22" s="18">
        <f>G22+H22</f>
        <v/>
      </c>
      <c r="J22" s="18" t="n">
        <v>0</v>
      </c>
      <c r="K22" s="19">
        <f>IF(J22&gt;=I22,"+","-")&amp;TEXT(ABS(J22-I22),"[h]""h"" mm""m""")</f>
        <v/>
      </c>
    </row>
    <row r="23">
      <c r="A23" s="16" t="inlineStr">
        <is>
          <t>Wk2  10 Aug–16 Aug</t>
        </is>
      </c>
      <c r="B23" s="16" t="inlineStr">
        <is>
          <t>Sajawal Khan</t>
        </is>
      </c>
      <c r="C23" s="16" t="inlineStr">
        <is>
          <t>Builders Trade Depot</t>
        </is>
      </c>
      <c r="D23" s="17" t="inlineStr">
        <is>
          <t>Sub Category Archive Page Creation</t>
        </is>
      </c>
      <c r="E23" s="17" t="inlineStr">
        <is>
          <t>Creating the subcategory archive pages.</t>
        </is>
      </c>
      <c r="F23" s="16" t="inlineStr">
        <is>
          <t>approved</t>
        </is>
      </c>
      <c r="G23" s="18" t="n">
        <v>0.05138888888888889</v>
      </c>
      <c r="H23" s="18" t="n">
        <v>0</v>
      </c>
      <c r="I23" s="18">
        <f>G23+H23</f>
        <v/>
      </c>
      <c r="J23" s="18" t="n">
        <v>0</v>
      </c>
      <c r="K23" s="19">
        <f>IF(J23&gt;=I23,"+","-")&amp;TEXT(ABS(J23-I23),"[h]""h"" mm""m""")</f>
        <v/>
      </c>
    </row>
    <row r="24">
      <c r="A24" s="16" t="inlineStr">
        <is>
          <t>Wk2  10 Aug–16 Aug</t>
        </is>
      </c>
      <c r="B24" s="16" t="inlineStr">
        <is>
          <t>Sajawal Khan</t>
        </is>
      </c>
      <c r="C24" s="16" t="inlineStr">
        <is>
          <t>Zedan</t>
        </is>
      </c>
      <c r="D24" s="17" t="inlineStr">
        <is>
          <t>Zedan Q/A Fixes</t>
        </is>
      </c>
      <c r="E24" s="17" t="inlineStr">
        <is>
          <t>Fixing issues found during quality testing.</t>
        </is>
      </c>
      <c r="F24" s="16" t="inlineStr">
        <is>
          <t>completed</t>
        </is>
      </c>
      <c r="G24" s="18" t="n">
        <v>0.01180555555555556</v>
      </c>
      <c r="H24" s="18" t="n">
        <v>0</v>
      </c>
      <c r="I24" s="18">
        <f>G24+H24</f>
        <v/>
      </c>
      <c r="J24" s="18" t="n">
        <v>0</v>
      </c>
      <c r="K24" s="19">
        <f>IF(J24&gt;=I24,"+","-")&amp;TEXT(ABS(J24-I24),"[h]""h"" mm""m""")</f>
        <v/>
      </c>
    </row>
    <row r="25">
      <c r="A25" s="16" t="inlineStr">
        <is>
          <t>Wk2  10 Aug–16 Aug</t>
        </is>
      </c>
      <c r="B25" s="16" t="inlineStr">
        <is>
          <t>Zain Malik</t>
        </is>
      </c>
      <c r="C25" s="16" t="inlineStr">
        <is>
          <t>Cricket Sansar</t>
        </is>
      </c>
      <c r="D25" s="17" t="inlineStr">
        <is>
          <t>Ios Resubmission</t>
        </is>
      </c>
      <c r="E25" s="17" t="inlineStr">
        <is>
          <t>Resubmitting the iOS app with Apple's required changes.</t>
        </is>
      </c>
      <c r="F25" s="16" t="inlineStr">
        <is>
          <t>completed</t>
        </is>
      </c>
      <c r="G25" s="18" t="n">
        <v>0.006944444444444444</v>
      </c>
      <c r="H25" s="18" t="n">
        <v>0</v>
      </c>
      <c r="I25" s="18">
        <f>G25+H25</f>
        <v/>
      </c>
      <c r="J25" s="18" t="n">
        <v>0</v>
      </c>
      <c r="K25" s="19">
        <f>IF(J25&gt;=I25,"+","-")&amp;TEXT(ABS(J25-I25),"[h]""h"" mm""m""")</f>
        <v/>
      </c>
    </row>
    <row r="26">
      <c r="A26" s="16" t="inlineStr">
        <is>
          <t>Wk2  10 Aug–16 Aug</t>
        </is>
      </c>
      <c r="B26" s="16" t="inlineStr">
        <is>
          <t>Zain Malik</t>
        </is>
      </c>
      <c r="C26" s="16" t="inlineStr">
        <is>
          <t>Linknbit Portal</t>
        </is>
      </c>
      <c r="D26" s="17" t="inlineStr">
        <is>
          <t>Restriction on moving tasks</t>
        </is>
      </c>
      <c r="E26" s="17" t="inlineStr">
        <is>
          <t>Portal: only PMs and Team Leads may close or approve tasks.</t>
        </is>
      </c>
      <c r="F26" s="16" t="inlineStr">
        <is>
          <t>approved</t>
        </is>
      </c>
      <c r="G26" s="18" t="n">
        <v>0.009722222222222222</v>
      </c>
      <c r="H26" s="18" t="n">
        <v>0</v>
      </c>
      <c r="I26" s="18">
        <f>G26+H26</f>
        <v/>
      </c>
      <c r="J26" s="18" t="n">
        <v>0</v>
      </c>
      <c r="K26" s="19">
        <f>IF(J26&gt;=I26,"+","-")&amp;TEXT(ABS(J26-I26),"[h]""h"" mm""m""")</f>
        <v/>
      </c>
    </row>
    <row r="27">
      <c r="A27" s="16" t="inlineStr">
        <is>
          <t>Wk2  10 Aug–16 Aug</t>
        </is>
      </c>
      <c r="B27" s="16" t="inlineStr">
        <is>
          <t>khizer hayat</t>
        </is>
      </c>
      <c r="C27" s="16" t="inlineStr">
        <is>
          <t>Neowall</t>
        </is>
      </c>
      <c r="D27" s="17" t="inlineStr">
        <is>
          <t>Apply the ammendments requested by client</t>
        </is>
      </c>
      <c r="E27" s="17" t="inlineStr">
        <is>
          <t>Applying the client's requested website amendments.</t>
        </is>
      </c>
      <c r="F27" s="16" t="inlineStr">
        <is>
          <t>completed</t>
        </is>
      </c>
      <c r="G27" s="18" t="n">
        <v>0.1791666666666667</v>
      </c>
      <c r="H27" s="18" t="n">
        <v>0</v>
      </c>
      <c r="I27" s="18">
        <f>G27+H27</f>
        <v/>
      </c>
      <c r="J27" s="18" t="n">
        <v>0</v>
      </c>
      <c r="K27" s="19">
        <f>IF(J27&gt;=I27,"+","-")&amp;TEXT(ABS(J27-I27),"[h]""h"" mm""m""")</f>
        <v/>
      </c>
    </row>
    <row r="28">
      <c r="A28" s="16" t="inlineStr">
        <is>
          <t>Wk2  10 Aug–16 Aug</t>
        </is>
      </c>
      <c r="B28" s="16" t="inlineStr">
        <is>
          <t>khizer hayat</t>
        </is>
      </c>
      <c r="C28" s="16" t="inlineStr">
        <is>
          <t>Zedan</t>
        </is>
      </c>
      <c r="D28" s="17" t="inlineStr">
        <is>
          <t>Deployment + Fixes + Improvements</t>
        </is>
      </c>
      <c r="E28" s="17" t="inlineStr">
        <is>
          <t>Deploying the site plus fixes and improvements.</t>
        </is>
      </c>
      <c r="F28" s="16" t="inlineStr">
        <is>
          <t>approved</t>
        </is>
      </c>
      <c r="G28" s="18" t="n">
        <v>0.1347222222222222</v>
      </c>
      <c r="H28" s="18" t="n">
        <v>0</v>
      </c>
      <c r="I28" s="18">
        <f>G28+H28</f>
        <v/>
      </c>
      <c r="J28" s="18" t="n">
        <v>0</v>
      </c>
      <c r="K28" s="19">
        <f>IF(J28&gt;=I28,"+","-")&amp;TEXT(ABS(J28-I28),"[h]""h"" mm""m""")</f>
        <v/>
      </c>
    </row>
    <row r="29">
      <c r="A29" s="16" t="inlineStr">
        <is>
          <t>Wk2  10 Aug–16 Aug</t>
        </is>
      </c>
      <c r="B29" s="16" t="inlineStr">
        <is>
          <t>khizer hayat</t>
        </is>
      </c>
      <c r="C29" s="16" t="inlineStr">
        <is>
          <t>Builders Trade Depot</t>
        </is>
      </c>
      <c r="D29" s="17" t="inlineStr">
        <is>
          <t>Sub Category Archive Page Creation</t>
        </is>
      </c>
      <c r="E29" s="17" t="inlineStr">
        <is>
          <t>Creating the subcategory archive pages.</t>
        </is>
      </c>
      <c r="F29" s="16" t="inlineStr">
        <is>
          <t>approved</t>
        </is>
      </c>
      <c r="G29" s="18" t="n">
        <v>0.02361111111111111</v>
      </c>
      <c r="H29" s="18" t="n">
        <v>0</v>
      </c>
      <c r="I29" s="18">
        <f>G29+H29</f>
        <v/>
      </c>
      <c r="J29" s="18" t="n">
        <v>0</v>
      </c>
      <c r="K29" s="19">
        <f>IF(J29&gt;=I29,"+","-")&amp;TEXT(ABS(J29-I29),"[h]""h"" mm""m""")</f>
        <v/>
      </c>
    </row>
    <row r="30">
      <c r="A30" s="16" t="inlineStr">
        <is>
          <t>Wk3  17 Aug–23 Aug</t>
        </is>
      </c>
      <c r="B30" s="16" t="inlineStr">
        <is>
          <t>ADMIN</t>
        </is>
      </c>
      <c r="C30" s="16" t="inlineStr">
        <is>
          <t>Greta Grove</t>
        </is>
      </c>
      <c r="D30" s="17" t="inlineStr">
        <is>
          <t>Auto-logout</t>
        </is>
      </c>
      <c r="E30" s="17" t="inlineStr">
        <is>
          <t>Logging customers out after 7 days of inactivity.</t>
        </is>
      </c>
      <c r="F30" s="16" t="inlineStr">
        <is>
          <t>completed</t>
        </is>
      </c>
      <c r="G30" s="18" t="n">
        <v>0</v>
      </c>
      <c r="H30" s="18" t="n">
        <v>0.08333333333333333</v>
      </c>
      <c r="I30" s="18">
        <f>G30+H30</f>
        <v/>
      </c>
      <c r="J30" s="18" t="n">
        <v>0</v>
      </c>
      <c r="K30" s="19">
        <f>IF(J30&gt;=I30,"+","-")&amp;TEXT(ABS(J30-I30),"[h]""h"" mm""m""")</f>
        <v/>
      </c>
    </row>
    <row r="31">
      <c r="A31" s="16" t="inlineStr">
        <is>
          <t>Wk3  17 Aug–23 Aug</t>
        </is>
      </c>
      <c r="B31" s="16" t="inlineStr">
        <is>
          <t>Abbas Khan</t>
        </is>
      </c>
      <c r="C31" s="16" t="inlineStr">
        <is>
          <t>Oasis Fertility</t>
        </is>
      </c>
      <c r="D31" s="17" t="inlineStr">
        <is>
          <t>Embed for the buttons and form/contact us button</t>
        </is>
      </c>
      <c r="E31" s="17" t="inlineStr">
        <is>
          <t>Embedding the booking widget script on buttons and forms.</t>
        </is>
      </c>
      <c r="F31" s="16" t="inlineStr">
        <is>
          <t>approved</t>
        </is>
      </c>
      <c r="G31" s="18" t="n">
        <v>0.00625</v>
      </c>
      <c r="H31" s="18" t="n">
        <v>0</v>
      </c>
      <c r="I31" s="18">
        <f>G31+H31</f>
        <v/>
      </c>
      <c r="J31" s="18" t="n">
        <v>0</v>
      </c>
      <c r="K31" s="19">
        <f>IF(J31&gt;=I31,"+","-")&amp;TEXT(ABS(J31-I31),"[h]""h"" mm""m""")</f>
        <v/>
      </c>
    </row>
    <row r="32">
      <c r="A32" s="16" t="inlineStr">
        <is>
          <t>Wk3  17 Aug–23 Aug</t>
        </is>
      </c>
      <c r="B32" s="16" t="inlineStr">
        <is>
          <t>Abbas Khan</t>
        </is>
      </c>
      <c r="C32" s="16" t="inlineStr">
        <is>
          <t>Greta Grove</t>
        </is>
      </c>
      <c r="D32" s="17" t="inlineStr">
        <is>
          <t>GG-046	Add POS to Website</t>
        </is>
      </c>
      <c r="E32" s="17" t="inlineStr">
        <is>
          <t>Letting logged-in customers order point-of-sale material.</t>
        </is>
      </c>
      <c r="F32" s="16" t="inlineStr">
        <is>
          <t>approved</t>
        </is>
      </c>
      <c r="G32" s="18" t="n">
        <v>0.01180555555555556</v>
      </c>
      <c r="H32" s="18" t="n">
        <v>0</v>
      </c>
      <c r="I32" s="18">
        <f>G32+H32</f>
        <v/>
      </c>
      <c r="J32" s="18" t="n">
        <v>0</v>
      </c>
      <c r="K32" s="19">
        <f>IF(J32&gt;=I32,"+","-")&amp;TEXT(ABS(J32-I32),"[h]""h"" mm""m""")</f>
        <v/>
      </c>
    </row>
    <row r="33">
      <c r="A33" s="16" t="inlineStr">
        <is>
          <t>Wk3  17 Aug–23 Aug</t>
        </is>
      </c>
      <c r="B33" s="16" t="inlineStr">
        <is>
          <t>Abbas Khan</t>
        </is>
      </c>
      <c r="C33" s="16" t="inlineStr">
        <is>
          <t>Greta Grove</t>
        </is>
      </c>
      <c r="D33" s="17" t="inlineStr">
        <is>
          <t>GG-047	Add National Delivery Schedule</t>
        </is>
      </c>
      <c r="E33" s="17" t="inlineStr">
        <is>
          <t>A logged-in delivery schedule showing where and when we deliver.</t>
        </is>
      </c>
      <c r="F33" s="16" t="inlineStr">
        <is>
          <t>approved</t>
        </is>
      </c>
      <c r="G33" s="18" t="n">
        <v>0.1013888888888889</v>
      </c>
      <c r="H33" s="18" t="n">
        <v>0</v>
      </c>
      <c r="I33" s="18">
        <f>G33+H33</f>
        <v/>
      </c>
      <c r="J33" s="18" t="n">
        <v>0.03819444444444445</v>
      </c>
      <c r="K33" s="19">
        <f>IF(J33&gt;=I33,"+","-")&amp;TEXT(ABS(J33-I33),"[h]""h"" mm""m""")</f>
        <v/>
      </c>
    </row>
    <row r="34">
      <c r="A34" s="16" t="inlineStr">
        <is>
          <t>Wk3  17 Aug–23 Aug</t>
        </is>
      </c>
      <c r="B34" s="16" t="inlineStr">
        <is>
          <t>Abbas Khan</t>
        </is>
      </c>
      <c r="C34" s="16" t="inlineStr">
        <is>
          <t>Greta Grove</t>
        </is>
      </c>
      <c r="D34" s="17" t="inlineStr">
        <is>
          <t>GG-048	Rename Bands</t>
        </is>
      </c>
      <c r="E34" s="17" t="inlineStr">
        <is>
          <t>Renaming pricing bands to Starter, Growth and Enterprise.</t>
        </is>
      </c>
      <c r="F34" s="16" t="inlineStr">
        <is>
          <t>approved</t>
        </is>
      </c>
      <c r="G34" s="18" t="n">
        <v>0.01666666666666667</v>
      </c>
      <c r="H34" s="18" t="n">
        <v>0</v>
      </c>
      <c r="I34" s="18">
        <f>G34+H34</f>
        <v/>
      </c>
      <c r="J34" s="18" t="n">
        <v>0</v>
      </c>
      <c r="K34" s="19">
        <f>IF(J34&gt;=I34,"+","-")&amp;TEXT(ABS(J34-I34),"[h]""h"" mm""m""")</f>
        <v/>
      </c>
    </row>
    <row r="35">
      <c r="A35" s="16" t="inlineStr">
        <is>
          <t>Wk3  17 Aug–23 Aug</t>
        </is>
      </c>
      <c r="B35" s="16" t="inlineStr">
        <is>
          <t>Abbas Khan</t>
        </is>
      </c>
      <c r="C35" s="16" t="inlineStr">
        <is>
          <t>Greta Grove</t>
        </is>
      </c>
      <c r="D35" s="17" t="inlineStr">
        <is>
          <t>GretaGrove Delivery Routes and Schedule</t>
        </is>
      </c>
      <c r="E35" s="17" t="inlineStr">
        <is>
          <t>Documenting delivery routes and schedule.</t>
        </is>
      </c>
      <c r="F35" s="16" t="inlineStr">
        <is>
          <t>approved</t>
        </is>
      </c>
      <c r="G35" s="18" t="n">
        <v>0.03402777777777777</v>
      </c>
      <c r="H35" s="18" t="n">
        <v>0</v>
      </c>
      <c r="I35" s="18">
        <f>G35+H35</f>
        <v/>
      </c>
      <c r="J35" s="18" t="n">
        <v>0.07291666666666667</v>
      </c>
      <c r="K35" s="19">
        <f>IF(J35&gt;=I35,"+","-")&amp;TEXT(ABS(J35-I35),"[h]""h"" mm""m""")</f>
        <v/>
      </c>
    </row>
    <row r="36">
      <c r="A36" s="16" t="inlineStr">
        <is>
          <t>Wk3  17 Aug–23 Aug</t>
        </is>
      </c>
      <c r="B36" s="16" t="inlineStr">
        <is>
          <t>Abbas Khan</t>
        </is>
      </c>
      <c r="C36" s="16" t="inlineStr">
        <is>
          <t>Titan Forge</t>
        </is>
      </c>
      <c r="D36" s="17" t="inlineStr">
        <is>
          <t>Minor Changes in Website</t>
        </is>
      </c>
      <c r="E36" s="17" t="inlineStr">
        <is>
          <t>Five small client changes agreed in a meeting.</t>
        </is>
      </c>
      <c r="F36" s="16" t="inlineStr">
        <is>
          <t>approved</t>
        </is>
      </c>
      <c r="G36" s="18" t="n">
        <v>0.1638888888888889</v>
      </c>
      <c r="H36" s="18" t="n">
        <v>0</v>
      </c>
      <c r="I36" s="18">
        <f>G36+H36</f>
        <v/>
      </c>
      <c r="J36" s="18" t="n">
        <v>0</v>
      </c>
      <c r="K36" s="19">
        <f>IF(J36&gt;=I36,"+","-")&amp;TEXT(ABS(J36-I36),"[h]""h"" mm""m""")</f>
        <v/>
      </c>
    </row>
    <row r="37">
      <c r="A37" s="16" t="inlineStr">
        <is>
          <t>Wk3  17 Aug–23 Aug</t>
        </is>
      </c>
      <c r="B37" s="16" t="inlineStr">
        <is>
          <t>Abbas Khan</t>
        </is>
      </c>
      <c r="C37" s="16" t="inlineStr">
        <is>
          <t>Greta Grove</t>
        </is>
      </c>
      <c r="D37" s="17" t="inlineStr">
        <is>
          <t>Remove "Notes" Section</t>
        </is>
      </c>
      <c r="E37" s="17" t="inlineStr">
        <is>
          <t>Removing the notes section from a table, as asked.</t>
        </is>
      </c>
      <c r="F37" s="16" t="inlineStr">
        <is>
          <t>approved</t>
        </is>
      </c>
      <c r="G37" s="18" t="n">
        <v>0.006944444444444444</v>
      </c>
      <c r="H37" s="18" t="n">
        <v>0</v>
      </c>
      <c r="I37" s="18">
        <f>G37+H37</f>
        <v/>
      </c>
      <c r="J37" s="18" t="n">
        <v>0</v>
      </c>
      <c r="K37" s="19">
        <f>IF(J37&gt;=I37,"+","-")&amp;TEXT(ABS(J37-I37),"[h]""h"" mm""m""")</f>
        <v/>
      </c>
    </row>
    <row r="38">
      <c r="A38" s="16" t="inlineStr">
        <is>
          <t>Wk3  17 Aug–23 Aug</t>
        </is>
      </c>
      <c r="B38" s="16" t="inlineStr">
        <is>
          <t>Abbas Khan</t>
        </is>
      </c>
      <c r="C38" s="16" t="inlineStr">
        <is>
          <t>Titan Forge</t>
        </is>
      </c>
      <c r="D38" s="17" t="inlineStr">
        <is>
          <t>Subscriber Form Klaviyo</t>
        </is>
      </c>
      <c r="E38" s="17" t="inlineStr">
        <is>
          <t>Building a newsletter signup popup in Klaviyo.</t>
        </is>
      </c>
      <c r="F38" s="16" t="inlineStr">
        <is>
          <t>approved</t>
        </is>
      </c>
      <c r="G38" s="18" t="n">
        <v>0.03263888888888889</v>
      </c>
      <c r="H38" s="18" t="n">
        <v>0</v>
      </c>
      <c r="I38" s="18">
        <f>G38+H38</f>
        <v/>
      </c>
      <c r="J38" s="18" t="n">
        <v>0</v>
      </c>
      <c r="K38" s="19">
        <f>IF(J38&gt;=I38,"+","-")&amp;TEXT(ABS(J38-I38),"[h]""h"" mm""m""")</f>
        <v/>
      </c>
    </row>
    <row r="39">
      <c r="A39" s="16" t="inlineStr">
        <is>
          <t>Wk3  17 Aug–23 Aug</t>
        </is>
      </c>
      <c r="B39" s="16" t="inlineStr">
        <is>
          <t>Abbas Khan</t>
        </is>
      </c>
      <c r="C39" s="16" t="inlineStr">
        <is>
          <t>Bright Amber</t>
        </is>
      </c>
      <c r="D39" s="17" t="inlineStr">
        <is>
          <t>Website Amendments</t>
        </is>
      </c>
      <c r="E39" s="17" t="inlineStr">
        <is>
          <t>Making the website changes the client listed in a document.</t>
        </is>
      </c>
      <c r="F39" s="16" t="inlineStr">
        <is>
          <t>approved</t>
        </is>
      </c>
      <c r="G39" s="18" t="n">
        <v>0.2701388888888889</v>
      </c>
      <c r="H39" s="18" t="n">
        <v>0</v>
      </c>
      <c r="I39" s="18">
        <f>G39+H39</f>
        <v/>
      </c>
      <c r="J39" s="18" t="n">
        <v>0.2083333333333333</v>
      </c>
      <c r="K39" s="19">
        <f>IF(J39&gt;=I39,"+","-")&amp;TEXT(ABS(J39-I39),"[h]""h"" mm""m""")</f>
        <v/>
      </c>
    </row>
    <row r="40">
      <c r="A40" s="16" t="inlineStr">
        <is>
          <t>Wk3  17 Aug–23 Aug</t>
        </is>
      </c>
      <c r="B40" s="16" t="inlineStr">
        <is>
          <t>Abbas Khan</t>
        </is>
      </c>
      <c r="C40" s="16" t="inlineStr">
        <is>
          <t>Oasis Fertility</t>
        </is>
      </c>
      <c r="D40" s="17" t="inlineStr">
        <is>
          <t>Website Fixes</t>
        </is>
      </c>
      <c r="E40" s="17" t="inlineStr">
        <is>
          <t>Fixing website issues listed in a shared Google Doc.</t>
        </is>
      </c>
      <c r="F40" s="16" t="inlineStr">
        <is>
          <t>approved</t>
        </is>
      </c>
      <c r="G40" s="18" t="n">
        <v>0.05347222222222222</v>
      </c>
      <c r="H40" s="18" t="n">
        <v>0</v>
      </c>
      <c r="I40" s="18">
        <f>G40+H40</f>
        <v/>
      </c>
      <c r="J40" s="18" t="n">
        <v>0.08333333333333333</v>
      </c>
      <c r="K40" s="19">
        <f>IF(J40&gt;=I40,"+","-")&amp;TEXT(ABS(J40-I40),"[h]""h"" mm""m""")</f>
        <v/>
      </c>
    </row>
    <row r="41">
      <c r="A41" s="16" t="inlineStr">
        <is>
          <t>Wk3  17 Aug–23 Aug</t>
        </is>
      </c>
      <c r="B41" s="16" t="inlineStr">
        <is>
          <t>Abbas Khan</t>
        </is>
      </c>
      <c r="C41" s="16" t="inlineStr">
        <is>
          <t>Oasis Fertility</t>
        </is>
      </c>
      <c r="D41" s="17" t="inlineStr">
        <is>
          <t>Website Migration</t>
        </is>
      </c>
      <c r="E41" s="17" t="inlineStr">
        <is>
          <t>Moving the Oasis website to SiteGround hosting. [credentials redacted]</t>
        </is>
      </c>
      <c r="F41" s="16" t="inlineStr">
        <is>
          <t>approved</t>
        </is>
      </c>
      <c r="G41" s="18" t="n">
        <v>0.04027777777777778</v>
      </c>
      <c r="H41" s="18" t="n">
        <v>0</v>
      </c>
      <c r="I41" s="18">
        <f>G41+H41</f>
        <v/>
      </c>
      <c r="J41" s="18" t="n">
        <v>0.1388888888888889</v>
      </c>
      <c r="K41" s="19">
        <f>IF(J41&gt;=I41,"+","-")&amp;TEXT(ABS(J41-I41),"[h]""h"" mm""m""")</f>
        <v/>
      </c>
    </row>
    <row r="42">
      <c r="A42" s="16" t="inlineStr">
        <is>
          <t>Wk3  17 Aug–23 Aug</t>
        </is>
      </c>
      <c r="B42" s="16" t="inlineStr">
        <is>
          <t>Ghayas</t>
        </is>
      </c>
      <c r="C42" s="16" t="inlineStr">
        <is>
          <t>Cricket Sansar</t>
        </is>
      </c>
      <c r="D42" s="17" t="inlineStr">
        <is>
          <t>Change quote pickup and dropoff date functionality</t>
        </is>
      </c>
      <c r="E42" s="17" t="inlineStr">
        <is>
          <t>Matching the date picker to a competitor's flow.</t>
        </is>
      </c>
      <c r="F42" s="16" t="inlineStr">
        <is>
          <t>approved</t>
        </is>
      </c>
      <c r="G42" s="18" t="n">
        <v>0.009722222222222222</v>
      </c>
      <c r="H42" s="18" t="n">
        <v>0.01041666666666667</v>
      </c>
      <c r="I42" s="18">
        <f>G42+H42</f>
        <v/>
      </c>
      <c r="J42" s="18" t="n">
        <v>0</v>
      </c>
      <c r="K42" s="19">
        <f>IF(J42&gt;=I42,"+","-")&amp;TEXT(ABS(J42-I42),"[h]""h"" mm""m""")</f>
        <v/>
      </c>
    </row>
    <row r="43">
      <c r="A43" s="16" t="inlineStr">
        <is>
          <t>Wk3  17 Aug–23 Aug</t>
        </is>
      </c>
      <c r="B43" s="16" t="inlineStr">
        <is>
          <t>Ghayas</t>
        </is>
      </c>
      <c r="C43" s="16" t="inlineStr">
        <is>
          <t>Greta Grove</t>
        </is>
      </c>
      <c r="D43" s="17" t="inlineStr">
        <is>
          <t>Fix critical error</t>
        </is>
      </c>
      <c r="E43" s="17" t="inlineStr">
        <is>
          <t>Fixing a critical error in the WordPress admin.</t>
        </is>
      </c>
      <c r="F43" s="16" t="inlineStr">
        <is>
          <t>approved</t>
        </is>
      </c>
      <c r="G43" s="18" t="n">
        <v>0.0006944444444444445</v>
      </c>
      <c r="H43" s="18" t="n">
        <v>0</v>
      </c>
      <c r="I43" s="18">
        <f>G43+H43</f>
        <v/>
      </c>
      <c r="J43" s="18" t="n">
        <v>0</v>
      </c>
      <c r="K43" s="19">
        <f>IF(J43&gt;=I43,"+","-")&amp;TEXT(ABS(J43-I43),"[h]""h"" mm""m""")</f>
        <v/>
      </c>
    </row>
    <row r="44">
      <c r="A44" s="16" t="inlineStr">
        <is>
          <t>Wk3  17 Aug–23 Aug</t>
        </is>
      </c>
      <c r="B44" s="16" t="inlineStr">
        <is>
          <t>Muhammad Yahya</t>
        </is>
      </c>
      <c r="C44" s="16" t="inlineStr">
        <is>
          <t>Learning</t>
        </is>
      </c>
      <c r="D44" s="17" t="inlineStr">
        <is>
          <t>Learn Webflow</t>
        </is>
      </c>
      <c r="E44" s="17" t="inlineStr">
        <is>
          <t>Training time: learning Webflow because our own site will be built on it.</t>
        </is>
      </c>
      <c r="F44" s="16" t="inlineStr">
        <is>
          <t>in_progress</t>
        </is>
      </c>
      <c r="G44" s="18" t="n">
        <v>0.2583333333333334</v>
      </c>
      <c r="H44" s="18" t="n">
        <v>0.04861111111111111</v>
      </c>
      <c r="I44" s="18">
        <f>G44+H44</f>
        <v/>
      </c>
      <c r="J44" s="18" t="n">
        <v>0.125</v>
      </c>
      <c r="K44" s="19">
        <f>IF(J44&gt;=I44,"+","-")&amp;TEXT(ABS(J44-I44),"[h]""h"" mm""m""")</f>
        <v/>
      </c>
    </row>
    <row r="45">
      <c r="A45" s="16" t="inlineStr">
        <is>
          <t>Wk3  17 Aug–23 Aug</t>
        </is>
      </c>
      <c r="B45" s="16" t="inlineStr">
        <is>
          <t>Muhammad Yahya</t>
        </is>
      </c>
      <c r="C45" s="16" t="inlineStr">
        <is>
          <t>Titan Forge</t>
        </is>
      </c>
      <c r="D45" s="17" t="inlineStr">
        <is>
          <t>Minor Changes in Website</t>
        </is>
      </c>
      <c r="E45" s="17" t="inlineStr">
        <is>
          <t>Five small client changes agreed in a meeting.</t>
        </is>
      </c>
      <c r="F45" s="16" t="inlineStr">
        <is>
          <t>approved</t>
        </is>
      </c>
      <c r="G45" s="18" t="n">
        <v>0.06111111111111111</v>
      </c>
      <c r="H45" s="18" t="n">
        <v>0</v>
      </c>
      <c r="I45" s="18">
        <f>G45+H45</f>
        <v/>
      </c>
      <c r="J45" s="18" t="n">
        <v>0</v>
      </c>
      <c r="K45" s="19">
        <f>IF(J45&gt;=I45,"+","-")&amp;TEXT(ABS(J45-I45),"[h]""h"" mm""m""")</f>
        <v/>
      </c>
    </row>
    <row r="46">
      <c r="A46" s="16" t="inlineStr">
        <is>
          <t>Wk3  17 Aug–23 Aug</t>
        </is>
      </c>
      <c r="B46" s="16" t="inlineStr">
        <is>
          <t>Sajawal Khan</t>
        </is>
      </c>
      <c r="C46" s="16" t="inlineStr">
        <is>
          <t>Builders Trade Depot</t>
        </is>
      </c>
      <c r="D46" s="17" t="inlineStr">
        <is>
          <t>Add Products and Cllections</t>
        </is>
      </c>
      <c r="E46" s="17" t="inlineStr">
        <is>
          <t>Uploading products and creating a sub-collection.</t>
        </is>
      </c>
      <c r="F46" s="16" t="inlineStr">
        <is>
          <t>approved</t>
        </is>
      </c>
      <c r="G46" s="18" t="n">
        <v>0.075</v>
      </c>
      <c r="H46" s="18" t="n">
        <v>0</v>
      </c>
      <c r="I46" s="18">
        <f>G46+H46</f>
        <v/>
      </c>
      <c r="J46" s="18" t="n">
        <v>0</v>
      </c>
      <c r="K46" s="19">
        <f>IF(J46&gt;=I46,"+","-")&amp;TEXT(ABS(J46-I46),"[h]""h"" mm""m""")</f>
        <v/>
      </c>
    </row>
    <row r="47">
      <c r="A47" s="16" t="inlineStr">
        <is>
          <t>Wk3  17 Aug–23 Aug</t>
        </is>
      </c>
      <c r="B47" s="16" t="inlineStr">
        <is>
          <t>Sajawal Khan</t>
        </is>
      </c>
      <c r="C47" s="16" t="inlineStr">
        <is>
          <t>Builders Trade Depot</t>
        </is>
      </c>
      <c r="D47" s="17" t="inlineStr">
        <is>
          <t>Upload products</t>
        </is>
      </c>
      <c r="E47" s="17" t="inlineStr">
        <is>
          <t>Uploading the product list the client sent.</t>
        </is>
      </c>
      <c r="F47" s="16" t="inlineStr">
        <is>
          <t>blocked</t>
        </is>
      </c>
      <c r="G47" s="18" t="n">
        <v>0</v>
      </c>
      <c r="H47" s="18" t="n">
        <v>0</v>
      </c>
      <c r="I47" s="18">
        <f>G47+H47</f>
        <v/>
      </c>
      <c r="J47" s="18" t="n">
        <v>0.3333333333333333</v>
      </c>
      <c r="K47" s="19">
        <f>IF(J47&gt;=I47,"+","-")&amp;TEXT(ABS(J47-I47),"[h]""h"" mm""m""")</f>
        <v/>
      </c>
    </row>
    <row r="48">
      <c r="A48" s="16" t="inlineStr">
        <is>
          <t>Wk3  17 Aug–23 Aug</t>
        </is>
      </c>
      <c r="B48" s="16" t="inlineStr">
        <is>
          <t>Sajawal Khan</t>
        </is>
      </c>
      <c r="C48" s="16" t="inlineStr">
        <is>
          <t>Zedan</t>
        </is>
      </c>
      <c r="D48" s="17" t="inlineStr">
        <is>
          <t>Zedan Product Upload</t>
        </is>
      </c>
      <c r="E48" s="17" t="inlineStr">
        <is>
          <t>Uploading shoot 5 and 6 product images.</t>
        </is>
      </c>
      <c r="F48" s="16" t="inlineStr">
        <is>
          <t>blocked</t>
        </is>
      </c>
      <c r="G48" s="18" t="n">
        <v>0.1284722222222222</v>
      </c>
      <c r="H48" s="18" t="n">
        <v>0.04166666666666666</v>
      </c>
      <c r="I48" s="18">
        <f>G48+H48</f>
        <v/>
      </c>
      <c r="J48" s="18" t="n">
        <v>0</v>
      </c>
      <c r="K48" s="19">
        <f>IF(J48&gt;=I48,"+","-")&amp;TEXT(ABS(J48-I48),"[h]""h"" mm""m""")</f>
        <v/>
      </c>
    </row>
    <row r="49">
      <c r="A49" s="16" t="inlineStr">
        <is>
          <t>Wk3  17 Aug–23 Aug</t>
        </is>
      </c>
      <c r="B49" s="16" t="inlineStr">
        <is>
          <t>Zain Malik</t>
        </is>
      </c>
      <c r="C49" s="16" t="inlineStr">
        <is>
          <t>Cricket Sansar</t>
        </is>
      </c>
      <c r="D49" s="17" t="inlineStr">
        <is>
          <t>Categories Addition</t>
        </is>
      </c>
      <c r="E49" s="17" t="inlineStr">
        <is>
          <t>Adding new categories, per the subtasks.</t>
        </is>
      </c>
      <c r="F49" s="16" t="inlineStr">
        <is>
          <t>approved</t>
        </is>
      </c>
      <c r="G49" s="18" t="n">
        <v>0.3236111111111111</v>
      </c>
      <c r="H49" s="18" t="n">
        <v>0.04513888888888889</v>
      </c>
      <c r="I49" s="18">
        <f>G49+H49</f>
        <v/>
      </c>
      <c r="J49" s="18" t="n">
        <v>0.3333333333333333</v>
      </c>
      <c r="K49" s="19">
        <f>IF(J49&gt;=I49,"+","-")&amp;TEXT(ABS(J49-I49),"[h]""h"" mm""m""")</f>
        <v/>
      </c>
    </row>
    <row r="50">
      <c r="A50" s="16" t="inlineStr">
        <is>
          <t>Wk3  17 Aug–23 Aug</t>
        </is>
      </c>
      <c r="B50" s="16" t="inlineStr">
        <is>
          <t>Zain Malik</t>
        </is>
      </c>
      <c r="C50" s="16" t="inlineStr">
        <is>
          <t>Cricket Sansar</t>
        </is>
      </c>
      <c r="D50" s="17" t="inlineStr">
        <is>
          <t>Set Up Facebook SDK Cricket Sansar</t>
        </is>
      </c>
      <c r="E50" s="17" t="inlineStr">
        <is>
          <t>Adding the Facebook SDK to the Android and iOS apps.</t>
        </is>
      </c>
      <c r="F50" s="16" t="inlineStr">
        <is>
          <t>approved</t>
        </is>
      </c>
      <c r="G50" s="18" t="n">
        <v>0</v>
      </c>
      <c r="H50" s="18" t="n">
        <v>0</v>
      </c>
      <c r="I50" s="18">
        <f>G50+H50</f>
        <v/>
      </c>
      <c r="J50" s="18" t="n">
        <v>0.1666666666666667</v>
      </c>
      <c r="K50" s="19">
        <f>IF(J50&gt;=I50,"+","-")&amp;TEXT(ABS(J50-I50),"[h]""h"" mm""m""")</f>
        <v/>
      </c>
    </row>
    <row r="51">
      <c r="A51" s="16" t="inlineStr">
        <is>
          <t>Wk3  17 Aug–23 Aug</t>
        </is>
      </c>
      <c r="B51" s="16" t="inlineStr">
        <is>
          <t>Zain Malik</t>
        </is>
      </c>
      <c r="C51" s="16" t="inlineStr">
        <is>
          <t>Cricket Sansar</t>
        </is>
      </c>
      <c r="D51" s="17" t="inlineStr">
        <is>
          <t>Urgent Tasks</t>
        </is>
      </c>
      <c r="E51" s="17" t="inlineStr">
        <is>
          <t>A group of urgent items held as subtasks.</t>
        </is>
      </c>
      <c r="F51" s="16" t="inlineStr">
        <is>
          <t>approved</t>
        </is>
      </c>
      <c r="G51" s="18" t="n">
        <v>0.0006944444444444445</v>
      </c>
      <c r="H51" s="18" t="n">
        <v>0</v>
      </c>
      <c r="I51" s="18">
        <f>G51+H51</f>
        <v/>
      </c>
      <c r="J51" s="18" t="n">
        <v>0</v>
      </c>
      <c r="K51" s="19">
        <f>IF(J51&gt;=I51,"+","-")&amp;TEXT(ABS(J51-I51),"[h]""h"" mm""m""")</f>
        <v/>
      </c>
    </row>
    <row r="52">
      <c r="A52" s="16" t="inlineStr">
        <is>
          <t>Wk3  17 Aug–23 Aug</t>
        </is>
      </c>
      <c r="B52" s="16" t="inlineStr">
        <is>
          <t>khizer hayat</t>
        </is>
      </c>
      <c r="C52" s="16" t="inlineStr">
        <is>
          <t>Zedan</t>
        </is>
      </c>
      <c r="D52" s="17" t="inlineStr">
        <is>
          <t>Azaadi Sale Website Fixes</t>
        </is>
      </c>
      <c r="E52" s="17" t="inlineStr">
        <is>
          <t>Independence sale fixes: homepage cover and sale labels.</t>
        </is>
      </c>
      <c r="F52" s="16" t="inlineStr">
        <is>
          <t>approved</t>
        </is>
      </c>
      <c r="G52" s="18" t="n">
        <v>0.08402777777777778</v>
      </c>
      <c r="H52" s="18" t="n">
        <v>0</v>
      </c>
      <c r="I52" s="18">
        <f>G52+H52</f>
        <v/>
      </c>
      <c r="J52" s="18" t="n">
        <v>0</v>
      </c>
      <c r="K52" s="19">
        <f>IF(J52&gt;=I52,"+","-")&amp;TEXT(ABS(J52-I52),"[h]""h"" mm""m""")</f>
        <v/>
      </c>
    </row>
    <row r="53">
      <c r="A53" s="16" t="inlineStr">
        <is>
          <t>Wk3  17 Aug–23 Aug</t>
        </is>
      </c>
      <c r="B53" s="16" t="inlineStr">
        <is>
          <t>khizer hayat</t>
        </is>
      </c>
      <c r="C53" s="16" t="inlineStr">
        <is>
          <t>Neowall</t>
        </is>
      </c>
      <c r="D53" s="17" t="inlineStr">
        <is>
          <t>Calulator Fix</t>
        </is>
      </c>
      <c r="E53" s="17" t="inlineStr">
        <is>
          <t>Fixing the wrong result from the product-page calculator.</t>
        </is>
      </c>
      <c r="F53" s="16" t="inlineStr">
        <is>
          <t>approved</t>
        </is>
      </c>
      <c r="G53" s="18" t="n">
        <v>0.1194444444444445</v>
      </c>
      <c r="H53" s="18" t="n">
        <v>0</v>
      </c>
      <c r="I53" s="18">
        <f>G53+H53</f>
        <v/>
      </c>
      <c r="J53" s="18" t="n">
        <v>0</v>
      </c>
      <c r="K53" s="19">
        <f>IF(J53&gt;=I53,"+","-")&amp;TEXT(ABS(J53-I53),"[h]""h"" mm""m""")</f>
        <v/>
      </c>
    </row>
    <row r="54">
      <c r="A54" s="16" t="inlineStr">
        <is>
          <t>Wk3  17 Aug–23 Aug</t>
        </is>
      </c>
      <c r="B54" s="16" t="inlineStr">
        <is>
          <t>khizer hayat</t>
        </is>
      </c>
      <c r="C54" s="16" t="inlineStr">
        <is>
          <t>Learning</t>
        </is>
      </c>
      <c r="D54" s="17" t="inlineStr">
        <is>
          <t>Learn Webflow</t>
        </is>
      </c>
      <c r="E54" s="17" t="inlineStr">
        <is>
          <t>Training time: learning Webflow because our own site will be built on it.</t>
        </is>
      </c>
      <c r="F54" s="16" t="inlineStr">
        <is>
          <t>in_progress</t>
        </is>
      </c>
      <c r="G54" s="18" t="n">
        <v>0.1423611111111111</v>
      </c>
      <c r="H54" s="18" t="n">
        <v>0</v>
      </c>
      <c r="I54" s="18">
        <f>G54+H54</f>
        <v/>
      </c>
      <c r="J54" s="18" t="n">
        <v>0</v>
      </c>
      <c r="K54" s="19">
        <f>IF(J54&gt;=I54,"+","-")&amp;TEXT(ABS(J54-I54),"[h]""h"" mm""m""")</f>
        <v/>
      </c>
    </row>
    <row r="55">
      <c r="A55" s="16" t="inlineStr">
        <is>
          <t>Wk3  17 Aug–23 Aug</t>
        </is>
      </c>
      <c r="B55" s="16" t="inlineStr">
        <is>
          <t>khizer hayat</t>
        </is>
      </c>
      <c r="C55" s="16" t="inlineStr">
        <is>
          <t>Builders Trade Depot</t>
        </is>
      </c>
      <c r="D55" s="17" t="inlineStr">
        <is>
          <t>Mega Menu Development</t>
        </is>
      </c>
      <c r="E55" s="17" t="inlineStr">
        <is>
          <t>Building the mega menu from the approved design.</t>
        </is>
      </c>
      <c r="F55" s="16" t="inlineStr">
        <is>
          <t>approved</t>
        </is>
      </c>
      <c r="G55" s="18" t="n">
        <v>0.09652777777777778</v>
      </c>
      <c r="H55" s="18" t="n">
        <v>0</v>
      </c>
      <c r="I55" s="18">
        <f>G55+H55</f>
        <v/>
      </c>
      <c r="J55" s="18" t="n">
        <v>0</v>
      </c>
      <c r="K55" s="19">
        <f>IF(J55&gt;=I55,"+","-")&amp;TEXT(ABS(J55-I55),"[h]""h"" mm""m""")</f>
        <v/>
      </c>
    </row>
    <row r="56">
      <c r="A56" s="16" t="inlineStr">
        <is>
          <t>Wk3  17 Aug–23 Aug</t>
        </is>
      </c>
      <c r="B56" s="16" t="inlineStr">
        <is>
          <t>khizer hayat</t>
        </is>
      </c>
      <c r="C56" s="16" t="inlineStr">
        <is>
          <t>Neowall</t>
        </is>
      </c>
      <c r="D56" s="17" t="inlineStr">
        <is>
          <t>Neowall Website Updates</t>
        </is>
      </c>
      <c r="E56" s="17" t="inlineStr">
        <is>
          <t>Website changes from the client's attached document.</t>
        </is>
      </c>
      <c r="F56" s="16" t="inlineStr">
        <is>
          <t>approved</t>
        </is>
      </c>
      <c r="G56" s="18" t="n">
        <v>0.2972222222222222</v>
      </c>
      <c r="H56" s="18" t="n">
        <v>0</v>
      </c>
      <c r="I56" s="18">
        <f>G56+H56</f>
        <v/>
      </c>
      <c r="J56" s="18" t="n">
        <v>0</v>
      </c>
      <c r="K56" s="19">
        <f>IF(J56&gt;=I56,"+","-")&amp;TEXT(ABS(J56-I56),"[h]""h"" mm""m""")</f>
        <v/>
      </c>
    </row>
    <row r="57">
      <c r="A57" s="16" t="inlineStr">
        <is>
          <t>Wk4  24 Aug–30 Aug</t>
        </is>
      </c>
      <c r="B57" s="16" t="inlineStr">
        <is>
          <t>Abbas Khan</t>
        </is>
      </c>
      <c r="C57" s="16" t="inlineStr">
        <is>
          <t>Titan Forge</t>
        </is>
      </c>
      <c r="D57" s="17" t="inlineStr">
        <is>
          <t>Add Animations and Make some Fixes</t>
        </is>
      </c>
      <c r="E57" s="17" t="inlineStr">
        <is>
          <t>Adding site animations and fixing the product page.</t>
        </is>
      </c>
      <c r="F57" s="16" t="inlineStr">
        <is>
          <t>approved</t>
        </is>
      </c>
      <c r="G57" s="18" t="n">
        <v>0.1041666666666667</v>
      </c>
      <c r="H57" s="18" t="n">
        <v>0</v>
      </c>
      <c r="I57" s="18">
        <f>G57+H57</f>
        <v/>
      </c>
      <c r="J57" s="18" t="n">
        <v>0.1666666666666667</v>
      </c>
      <c r="K57" s="19">
        <f>IF(J57&gt;=I57,"+","-")&amp;TEXT(ABS(J57-I57),"[h]""h"" mm""m""")</f>
        <v/>
      </c>
    </row>
    <row r="58">
      <c r="A58" s="16" t="inlineStr">
        <is>
          <t>Wk4  24 Aug–30 Aug</t>
        </is>
      </c>
      <c r="B58" s="16" t="inlineStr">
        <is>
          <t>Abbas Khan</t>
        </is>
      </c>
      <c r="C58" s="16" t="inlineStr">
        <is>
          <t>Greta Grove</t>
        </is>
      </c>
      <c r="D58" s="17" t="inlineStr">
        <is>
          <t>GG-046	Add POS to Website</t>
        </is>
      </c>
      <c r="E58" s="17" t="inlineStr">
        <is>
          <t>Letting logged-in customers order point-of-sale material.</t>
        </is>
      </c>
      <c r="F58" s="16" t="inlineStr">
        <is>
          <t>approved</t>
        </is>
      </c>
      <c r="G58" s="18" t="n">
        <v>0.006944444444444444</v>
      </c>
      <c r="H58" s="18" t="n">
        <v>0</v>
      </c>
      <c r="I58" s="18">
        <f>G58+H58</f>
        <v/>
      </c>
      <c r="J58" s="18" t="n">
        <v>0</v>
      </c>
      <c r="K58" s="19">
        <f>IF(J58&gt;=I58,"+","-")&amp;TEXT(ABS(J58-I58),"[h]""h"" mm""m""")</f>
        <v/>
      </c>
    </row>
    <row r="59">
      <c r="A59" s="16" t="inlineStr">
        <is>
          <t>Wk4  24 Aug–30 Aug</t>
        </is>
      </c>
      <c r="B59" s="16" t="inlineStr">
        <is>
          <t>Abbas Khan</t>
        </is>
      </c>
      <c r="C59" s="16" t="inlineStr">
        <is>
          <t>Greta Grove</t>
        </is>
      </c>
      <c r="D59" s="17" t="inlineStr">
        <is>
          <t>GretaGrove category content</t>
        </is>
      </c>
      <c r="E59" s="17" t="inlineStr">
        <is>
          <t>Reviewing categories and products and reporting missing data.</t>
        </is>
      </c>
      <c r="F59" s="16" t="inlineStr">
        <is>
          <t>approved</t>
        </is>
      </c>
      <c r="G59" s="18" t="n">
        <v>0.01458333333333333</v>
      </c>
      <c r="H59" s="18" t="n">
        <v>0</v>
      </c>
      <c r="I59" s="18">
        <f>G59+H59</f>
        <v/>
      </c>
      <c r="J59" s="18" t="n">
        <v>0</v>
      </c>
      <c r="K59" s="19">
        <f>IF(J59&gt;=I59,"+","-")&amp;TEXT(ABS(J59-I59),"[h]""h"" mm""m""")</f>
        <v/>
      </c>
    </row>
    <row r="60">
      <c r="A60" s="16" t="inlineStr">
        <is>
          <t>Wk4  24 Aug–30 Aug</t>
        </is>
      </c>
      <c r="B60" s="16" t="inlineStr">
        <is>
          <t>Abbas Khan</t>
        </is>
      </c>
      <c r="C60" s="16" t="inlineStr">
        <is>
          <t>Learning</t>
        </is>
      </c>
      <c r="D60" s="17" t="inlineStr">
        <is>
          <t>Learn Webflow</t>
        </is>
      </c>
      <c r="E60" s="17" t="inlineStr">
        <is>
          <t>Training time: learning Webflow because our own site will be built on it.</t>
        </is>
      </c>
      <c r="F60" s="16" t="inlineStr">
        <is>
          <t>in_progress</t>
        </is>
      </c>
      <c r="G60" s="18" t="n">
        <v>0.07083333333333333</v>
      </c>
      <c r="H60" s="18" t="n">
        <v>0</v>
      </c>
      <c r="I60" s="18">
        <f>G60+H60</f>
        <v/>
      </c>
      <c r="J60" s="18" t="n">
        <v>0</v>
      </c>
      <c r="K60" s="19">
        <f>IF(J60&gt;=I60,"+","-")&amp;TEXT(ABS(J60-I60),"[h]""h"" mm""m""")</f>
        <v/>
      </c>
    </row>
    <row r="61">
      <c r="A61" s="16" t="inlineStr">
        <is>
          <t>Wk4  24 Aug–30 Aug</t>
        </is>
      </c>
      <c r="B61" s="16" t="inlineStr">
        <is>
          <t>Abbas Khan</t>
        </is>
      </c>
      <c r="C61" s="16" t="inlineStr">
        <is>
          <t>Greta Grove</t>
        </is>
      </c>
      <c r="D61" s="17" t="inlineStr">
        <is>
          <t>Meeting with Client</t>
        </is>
      </c>
      <c r="E61" s="17" t="inlineStr">
        <is>
          <t>Client meeting time.</t>
        </is>
      </c>
      <c r="F61" s="16" t="inlineStr">
        <is>
          <t>approved</t>
        </is>
      </c>
      <c r="G61" s="18" t="n">
        <v>0.02222222222222222</v>
      </c>
      <c r="H61" s="18" t="n">
        <v>0</v>
      </c>
      <c r="I61" s="18">
        <f>G61+H61</f>
        <v/>
      </c>
      <c r="J61" s="18" t="n">
        <v>0.02777777777777778</v>
      </c>
      <c r="K61" s="19">
        <f>IF(J61&gt;=I61,"+","-")&amp;TEXT(ABS(J61-I61),"[h]""h"" mm""m""")</f>
        <v/>
      </c>
    </row>
    <row r="62">
      <c r="A62" s="16" t="inlineStr">
        <is>
          <t>Wk4  24 Aug–30 Aug</t>
        </is>
      </c>
      <c r="B62" s="16" t="inlineStr">
        <is>
          <t>Abbas Khan</t>
        </is>
      </c>
      <c r="C62" s="16" t="inlineStr">
        <is>
          <t>Greta Grove</t>
        </is>
      </c>
      <c r="D62" s="17" t="inlineStr">
        <is>
          <t>SQM Calculator (GG-038)</t>
        </is>
      </c>
      <c r="E62" s="17" t="inlineStr">
        <is>
          <t>A square-metre calculator so buyers know how much to order.</t>
        </is>
      </c>
      <c r="F62" s="16" t="inlineStr">
        <is>
          <t>approved</t>
        </is>
      </c>
      <c r="G62" s="18" t="n">
        <v>0.1618055555555556</v>
      </c>
      <c r="H62" s="18" t="n">
        <v>0</v>
      </c>
      <c r="I62" s="18">
        <f>G62+H62</f>
        <v/>
      </c>
      <c r="J62" s="18" t="n">
        <v>0.1666666666666667</v>
      </c>
      <c r="K62" s="19">
        <f>IF(J62&gt;=I62,"+","-")&amp;TEXT(ABS(J62-I62),"[h]""h"" mm""m""")</f>
        <v/>
      </c>
    </row>
    <row r="63">
      <c r="A63" s="16" t="inlineStr">
        <is>
          <t>Wk4  24 Aug–30 Aug</t>
        </is>
      </c>
      <c r="B63" s="16" t="inlineStr">
        <is>
          <t>Abbas Khan</t>
        </is>
      </c>
      <c r="C63" s="16" t="inlineStr">
        <is>
          <t>Bright Amber</t>
        </is>
      </c>
      <c r="D63" s="17" t="inlineStr">
        <is>
          <t>Website Amendments</t>
        </is>
      </c>
      <c r="E63" s="17" t="inlineStr">
        <is>
          <t>Making the website changes the client listed in a document.</t>
        </is>
      </c>
      <c r="F63" s="16" t="inlineStr">
        <is>
          <t>approved</t>
        </is>
      </c>
      <c r="G63" s="18" t="n">
        <v>0.2986111111111111</v>
      </c>
      <c r="H63" s="18" t="n">
        <v>0</v>
      </c>
      <c r="I63" s="18">
        <f>G63+H63</f>
        <v/>
      </c>
      <c r="J63" s="18" t="n">
        <v>0.1666666666666667</v>
      </c>
      <c r="K63" s="19">
        <f>IF(J63&gt;=I63,"+","-")&amp;TEXT(ABS(J63-I63),"[h]""h"" mm""m""")</f>
        <v/>
      </c>
    </row>
    <row r="64">
      <c r="A64" s="16" t="inlineStr">
        <is>
          <t>Wk4  24 Aug–30 Aug</t>
        </is>
      </c>
      <c r="B64" s="16" t="inlineStr">
        <is>
          <t>Abbas Khan</t>
        </is>
      </c>
      <c r="C64" s="16" t="inlineStr">
        <is>
          <t>Oasis Fertility</t>
        </is>
      </c>
      <c r="D64" s="17" t="inlineStr">
        <is>
          <t>Website Fixes</t>
        </is>
      </c>
      <c r="E64" s="17" t="inlineStr">
        <is>
          <t>Fixing website issues listed in a shared Google Doc.</t>
        </is>
      </c>
      <c r="F64" s="16" t="inlineStr">
        <is>
          <t>review</t>
        </is>
      </c>
      <c r="G64" s="18" t="n">
        <v>0.2201388888888889</v>
      </c>
      <c r="H64" s="18" t="n">
        <v>0</v>
      </c>
      <c r="I64" s="18">
        <f>G64+H64</f>
        <v/>
      </c>
      <c r="J64" s="18" t="n">
        <v>0.25</v>
      </c>
      <c r="K64" s="19">
        <f>IF(J64&gt;=I64,"+","-")&amp;TEXT(ABS(J64-I64),"[h]""h"" mm""m""")</f>
        <v/>
      </c>
    </row>
    <row r="65">
      <c r="A65" s="16" t="inlineStr">
        <is>
          <t>Wk4  24 Aug–30 Aug</t>
        </is>
      </c>
      <c r="B65" s="16" t="inlineStr">
        <is>
          <t>Abbas Khan</t>
        </is>
      </c>
      <c r="C65" s="16" t="inlineStr">
        <is>
          <t>Titan Forge</t>
        </is>
      </c>
      <c r="D65" s="17" t="inlineStr">
        <is>
          <t>Website New Amendments</t>
        </is>
      </c>
      <c r="E65" s="17" t="inlineStr">
        <is>
          <t>Website changes from the client's document.</t>
        </is>
      </c>
      <c r="F65" s="16" t="inlineStr">
        <is>
          <t>approved</t>
        </is>
      </c>
      <c r="G65" s="18" t="n">
        <v>0.07013888888888889</v>
      </c>
      <c r="H65" s="18" t="n">
        <v>0</v>
      </c>
      <c r="I65" s="18">
        <f>G65+H65</f>
        <v/>
      </c>
      <c r="J65" s="18" t="n">
        <v>0.08333333333333333</v>
      </c>
      <c r="K65" s="19">
        <f>IF(J65&gt;=I65,"+","-")&amp;TEXT(ABS(J65-I65),"[h]""h"" mm""m""")</f>
        <v/>
      </c>
    </row>
    <row r="66">
      <c r="A66" s="16" t="inlineStr">
        <is>
          <t>Wk4  24 Aug–30 Aug</t>
        </is>
      </c>
      <c r="B66" s="16" t="inlineStr">
        <is>
          <t>Muhammad Yahya</t>
        </is>
      </c>
      <c r="C66" s="16" t="inlineStr">
        <is>
          <t>Greta Grove</t>
        </is>
      </c>
      <c r="D66" s="17" t="inlineStr">
        <is>
          <t>GretaGrove category content</t>
        </is>
      </c>
      <c r="E66" s="17" t="inlineStr">
        <is>
          <t>Reviewing categories and products and reporting missing data.</t>
        </is>
      </c>
      <c r="F66" s="16" t="inlineStr">
        <is>
          <t>approved</t>
        </is>
      </c>
      <c r="G66" s="18" t="n">
        <v>0.2944444444444445</v>
      </c>
      <c r="H66" s="18" t="n">
        <v>0</v>
      </c>
      <c r="I66" s="18">
        <f>G66+H66</f>
        <v/>
      </c>
      <c r="J66" s="18" t="n">
        <v>0</v>
      </c>
      <c r="K66" s="19">
        <f>IF(J66&gt;=I66,"+","-")&amp;TEXT(ABS(J66-I66),"[h]""h"" mm""m""")</f>
        <v/>
      </c>
    </row>
    <row r="67">
      <c r="A67" s="16" t="inlineStr">
        <is>
          <t>Wk4  24 Aug–30 Aug</t>
        </is>
      </c>
      <c r="B67" s="16" t="inlineStr">
        <is>
          <t>Muhammad Yahya</t>
        </is>
      </c>
      <c r="C67" s="16" t="inlineStr">
        <is>
          <t>Learning</t>
        </is>
      </c>
      <c r="D67" s="17" t="inlineStr">
        <is>
          <t>Learn Webflow</t>
        </is>
      </c>
      <c r="E67" s="17" t="inlineStr">
        <is>
          <t>Training time: learning Webflow because our own site will be built on it.</t>
        </is>
      </c>
      <c r="F67" s="16" t="inlineStr">
        <is>
          <t>in_progress</t>
        </is>
      </c>
      <c r="G67" s="18" t="n">
        <v>0.3333333333333333</v>
      </c>
      <c r="H67" s="18" t="n">
        <v>0</v>
      </c>
      <c r="I67" s="18">
        <f>G67+H67</f>
        <v/>
      </c>
      <c r="J67" s="18" t="n">
        <v>0.6666666666666666</v>
      </c>
      <c r="K67" s="19">
        <f>IF(J67&gt;=I67,"+","-")&amp;TEXT(ABS(J67-I67),"[h]""h"" mm""m""")</f>
        <v/>
      </c>
    </row>
    <row r="68">
      <c r="A68" s="16" t="inlineStr">
        <is>
          <t>Wk4  24 Aug–30 Aug</t>
        </is>
      </c>
      <c r="B68" s="16" t="inlineStr">
        <is>
          <t>Muhammad Yahya</t>
        </is>
      </c>
      <c r="C68" s="16" t="inlineStr">
        <is>
          <t>Builders Trade Depot</t>
        </is>
      </c>
      <c r="D68" s="17" t="inlineStr">
        <is>
          <t>New product Upload and Fixes</t>
        </is>
      </c>
      <c r="E68" s="17" t="inlineStr">
        <is>
          <t>Uploading products and fixing issues raised in a client meeting.</t>
        </is>
      </c>
      <c r="F68" s="16" t="inlineStr">
        <is>
          <t>approved</t>
        </is>
      </c>
      <c r="G68" s="18" t="n">
        <v>0.04861111111111111</v>
      </c>
      <c r="H68" s="18" t="n">
        <v>0.04861111111111111</v>
      </c>
      <c r="I68" s="18">
        <f>G68+H68</f>
        <v/>
      </c>
      <c r="J68" s="18" t="n">
        <v>0</v>
      </c>
      <c r="K68" s="19">
        <f>IF(J68&gt;=I68,"+","-")&amp;TEXT(ABS(J68-I68),"[h]""h"" mm""m""")</f>
        <v/>
      </c>
    </row>
    <row r="69">
      <c r="A69" s="16" t="inlineStr">
        <is>
          <t>Wk4  24 Aug–30 Aug</t>
        </is>
      </c>
      <c r="B69" s="16" t="inlineStr">
        <is>
          <t>Sajawal Khan</t>
        </is>
      </c>
      <c r="C69" s="16" t="inlineStr">
        <is>
          <t>Zedan</t>
        </is>
      </c>
      <c r="D69" s="17" t="inlineStr">
        <is>
          <t>Clearance Sale on Website</t>
        </is>
      </c>
      <c r="E69" s="17" t="inlineStr">
        <is>
          <t>Creating the clearance collection with 35% off applied.</t>
        </is>
      </c>
      <c r="F69" s="16" t="inlineStr">
        <is>
          <t>approved</t>
        </is>
      </c>
      <c r="G69" s="18" t="n">
        <v>0.02430555555555556</v>
      </c>
      <c r="H69" s="18" t="n">
        <v>0</v>
      </c>
      <c r="I69" s="18">
        <f>G69+H69</f>
        <v/>
      </c>
      <c r="J69" s="18" t="n">
        <v>0.04166666666666666</v>
      </c>
      <c r="K69" s="19">
        <f>IF(J69&gt;=I69,"+","-")&amp;TEXT(ABS(J69-I69),"[h]""h"" mm""m""")</f>
        <v/>
      </c>
    </row>
    <row r="70">
      <c r="A70" s="16" t="inlineStr">
        <is>
          <t>Wk4  24 Aug–30 Aug</t>
        </is>
      </c>
      <c r="B70" s="16" t="inlineStr">
        <is>
          <t>Sajawal Khan</t>
        </is>
      </c>
      <c r="C70" s="16" t="inlineStr">
        <is>
          <t>Builders Trade Depot</t>
        </is>
      </c>
      <c r="D70" s="17" t="inlineStr">
        <is>
          <t>New Products Upload from a website</t>
        </is>
      </c>
      <c r="E70" s="17" t="inlineStr">
        <is>
          <t>Copying products from a supplier site onto our client's store.</t>
        </is>
      </c>
      <c r="F70" s="16" t="inlineStr">
        <is>
          <t>approved</t>
        </is>
      </c>
      <c r="G70" s="18" t="n">
        <v>0.5652777777777778</v>
      </c>
      <c r="H70" s="18" t="n">
        <v>0</v>
      </c>
      <c r="I70" s="18">
        <f>G70+H70</f>
        <v/>
      </c>
      <c r="J70" s="18" t="n">
        <v>0.625</v>
      </c>
      <c r="K70" s="19">
        <f>IF(J70&gt;=I70,"+","-")&amp;TEXT(ABS(J70-I70),"[h]""h"" mm""m""")</f>
        <v/>
      </c>
    </row>
    <row r="71">
      <c r="A71" s="16" t="inlineStr">
        <is>
          <t>Wk4  24 Aug–30 Aug</t>
        </is>
      </c>
      <c r="B71" s="16" t="inlineStr">
        <is>
          <t>Sajawal Khan</t>
        </is>
      </c>
      <c r="C71" s="16" t="inlineStr">
        <is>
          <t>Builders Trade Depot</t>
        </is>
      </c>
      <c r="D71" s="17" t="inlineStr">
        <is>
          <t>New product Upload and Fixes</t>
        </is>
      </c>
      <c r="E71" s="17" t="inlineStr">
        <is>
          <t>Uploading products and fixing issues raised in a client meeting.</t>
        </is>
      </c>
      <c r="F71" s="16" t="inlineStr">
        <is>
          <t>approved</t>
        </is>
      </c>
      <c r="G71" s="18" t="n">
        <v>0.09722222222222222</v>
      </c>
      <c r="H71" s="18" t="n">
        <v>0.3854166666666667</v>
      </c>
      <c r="I71" s="18">
        <f>G71+H71</f>
        <v/>
      </c>
      <c r="J71" s="18" t="n">
        <v>0.6666666666666666</v>
      </c>
      <c r="K71" s="19">
        <f>IF(J71&gt;=I71,"+","-")&amp;TEXT(ABS(J71-I71),"[h]""h"" mm""m""")</f>
        <v/>
      </c>
    </row>
    <row r="72">
      <c r="A72" s="16" t="inlineStr">
        <is>
          <t>Wk4  24 Aug–30 Aug</t>
        </is>
      </c>
      <c r="B72" s="16" t="inlineStr">
        <is>
          <t>Zain Malik</t>
        </is>
      </c>
      <c r="C72" s="16" t="inlineStr">
        <is>
          <t>Cricket Sansar</t>
        </is>
      </c>
      <c r="D72" s="17" t="inlineStr">
        <is>
          <t>Google Analytics</t>
        </is>
      </c>
      <c r="E72" s="17" t="inlineStr">
        <is>
          <t>Setting up Google Analytics for the web and mobile apps.</t>
        </is>
      </c>
      <c r="F72" s="16" t="inlineStr">
        <is>
          <t>approved</t>
        </is>
      </c>
      <c r="G72" s="18" t="n">
        <v>0</v>
      </c>
      <c r="H72" s="18" t="n">
        <v>0</v>
      </c>
      <c r="I72" s="18">
        <f>G72+H72</f>
        <v/>
      </c>
      <c r="J72" s="18" t="n">
        <v>0.25</v>
      </c>
      <c r="K72" s="19">
        <f>IF(J72&gt;=I72,"+","-")&amp;TEXT(ABS(J72-I72),"[h]""h"" mm""m""")</f>
        <v/>
      </c>
    </row>
    <row r="73">
      <c r="A73" s="16" t="inlineStr">
        <is>
          <t>Wk4  24 Aug–30 Aug</t>
        </is>
      </c>
      <c r="B73" s="16" t="inlineStr">
        <is>
          <t>Zain Malik</t>
        </is>
      </c>
      <c r="C73" s="16" t="inlineStr">
        <is>
          <t>Cricket Sansar</t>
        </is>
      </c>
      <c r="D73" s="17" t="inlineStr">
        <is>
          <t>Lock Screen Activity</t>
        </is>
      </c>
      <c r="E73" s="17" t="inlineStr">
        <is>
          <t>Building a lock-screen feature for Android, iOS and web.</t>
        </is>
      </c>
      <c r="F73" s="16" t="inlineStr">
        <is>
          <t>approved</t>
        </is>
      </c>
      <c r="G73" s="18" t="n">
        <v>1.0375</v>
      </c>
      <c r="H73" s="18" t="n">
        <v>0.08333333333333333</v>
      </c>
      <c r="I73" s="18">
        <f>G73+H73</f>
        <v/>
      </c>
      <c r="J73" s="18" t="n">
        <v>0.75</v>
      </c>
      <c r="K73" s="19">
        <f>IF(J73&gt;=I73,"+","-")&amp;TEXT(ABS(J73-I73),"[h]""h"" mm""m""")</f>
        <v/>
      </c>
    </row>
    <row r="74">
      <c r="A74" s="16" t="inlineStr">
        <is>
          <t>Wk4  24 Aug–30 Aug</t>
        </is>
      </c>
      <c r="B74" s="16" t="inlineStr">
        <is>
          <t>khizer hayat</t>
        </is>
      </c>
      <c r="C74" s="16" t="inlineStr">
        <is>
          <t>Zedan</t>
        </is>
      </c>
      <c r="D74" s="17" t="inlineStr">
        <is>
          <t>Clearance Sale on Website</t>
        </is>
      </c>
      <c r="E74" s="17" t="inlineStr">
        <is>
          <t>Creating the clearance collection with 35% off applied.</t>
        </is>
      </c>
      <c r="F74" s="16" t="inlineStr">
        <is>
          <t>approved</t>
        </is>
      </c>
      <c r="G74" s="18" t="n">
        <v>0.009027777777777777</v>
      </c>
      <c r="H74" s="18" t="n">
        <v>0</v>
      </c>
      <c r="I74" s="18">
        <f>G74+H74</f>
        <v/>
      </c>
      <c r="J74" s="18" t="n">
        <v>0</v>
      </c>
      <c r="K74" s="19">
        <f>IF(J74&gt;=I74,"+","-")&amp;TEXT(ABS(J74-I74),"[h]""h"" mm""m""")</f>
        <v/>
      </c>
    </row>
    <row r="75">
      <c r="A75" s="16" t="inlineStr">
        <is>
          <t>Wk4  24 Aug–30 Aug</t>
        </is>
      </c>
      <c r="B75" s="16" t="inlineStr">
        <is>
          <t>khizer hayat</t>
        </is>
      </c>
      <c r="C75" s="16" t="inlineStr">
        <is>
          <t>Learning</t>
        </is>
      </c>
      <c r="D75" s="17" t="inlineStr">
        <is>
          <t>Learn Webflow</t>
        </is>
      </c>
      <c r="E75" s="17" t="inlineStr">
        <is>
          <t>Training time: learning Webflow because our own site will be built on it.</t>
        </is>
      </c>
      <c r="F75" s="16" t="inlineStr">
        <is>
          <t>in_progress</t>
        </is>
      </c>
      <c r="G75" s="18" t="n">
        <v>0.03055555555555555</v>
      </c>
      <c r="H75" s="18" t="n">
        <v>0</v>
      </c>
      <c r="I75" s="18">
        <f>G75+H75</f>
        <v/>
      </c>
      <c r="J75" s="18" t="n">
        <v>0</v>
      </c>
      <c r="K75" s="19">
        <f>IF(J75&gt;=I75,"+","-")&amp;TEXT(ABS(J75-I75),"[h]""h"" mm""m""")</f>
        <v/>
      </c>
    </row>
    <row r="76">
      <c r="A76" s="16" t="inlineStr">
        <is>
          <t>Wk4  24 Aug–30 Aug</t>
        </is>
      </c>
      <c r="B76" s="16" t="inlineStr">
        <is>
          <t>khizer hayat</t>
        </is>
      </c>
      <c r="C76" s="16" t="inlineStr">
        <is>
          <t>Neowall</t>
        </is>
      </c>
      <c r="D76" s="17" t="inlineStr">
        <is>
          <t>Neowall Website Updates</t>
        </is>
      </c>
      <c r="E76" s="17" t="inlineStr">
        <is>
          <t>Website changes from the client's attached document.</t>
        </is>
      </c>
      <c r="F76" s="16" t="inlineStr">
        <is>
          <t>approved</t>
        </is>
      </c>
      <c r="G76" s="18" t="n">
        <v>0.2493055555555556</v>
      </c>
      <c r="H76" s="18" t="n">
        <v>0</v>
      </c>
      <c r="I76" s="18">
        <f>G76+H76</f>
        <v/>
      </c>
      <c r="J76" s="18" t="n">
        <v>0</v>
      </c>
      <c r="K76" s="19">
        <f>IF(J76&gt;=I76,"+","-")&amp;TEXT(ABS(J76-I76),"[h]""h"" mm""m""")</f>
        <v/>
      </c>
    </row>
    <row r="77">
      <c r="A77" s="16" t="inlineStr">
        <is>
          <t>Wk4  24 Aug–30 Aug</t>
        </is>
      </c>
      <c r="B77" s="16" t="inlineStr">
        <is>
          <t>khizer hayat</t>
        </is>
      </c>
      <c r="C77" s="16" t="inlineStr">
        <is>
          <t>Zedan</t>
        </is>
      </c>
      <c r="D77" s="17" t="inlineStr">
        <is>
          <t>Remover Azaadi Banner from here section</t>
        </is>
      </c>
      <c r="E77" s="17" t="inlineStr">
        <is>
          <t>Removing the Independence banner and restoring the old version.</t>
        </is>
      </c>
      <c r="F77" s="16" t="inlineStr">
        <is>
          <t>approved</t>
        </is>
      </c>
      <c r="G77" s="18" t="n">
        <v>0.004861111111111111</v>
      </c>
      <c r="H77" s="18" t="n">
        <v>0</v>
      </c>
      <c r="I77" s="18">
        <f>G77+H77</f>
        <v/>
      </c>
      <c r="J77" s="18" t="n">
        <v>0</v>
      </c>
      <c r="K77" s="19">
        <f>IF(J77&gt;=I77,"+","-")&amp;TEXT(ABS(J77-I77),"[h]""h"" mm""m""")</f>
        <v/>
      </c>
    </row>
    <row r="78">
      <c r="A78" s="16" t="inlineStr">
        <is>
          <t>Wk4  24 Aug–30 Aug</t>
        </is>
      </c>
      <c r="B78" s="16" t="inlineStr">
        <is>
          <t>khizer hayat</t>
        </is>
      </c>
      <c r="C78" s="16" t="inlineStr">
        <is>
          <t>Refinance My Car website (Sub Brand of CCF)</t>
        </is>
      </c>
      <c r="D78" s="17" t="inlineStr">
        <is>
          <t>Review the website thoroughly</t>
        </is>
      </c>
      <c r="E78" s="17" t="inlineStr">
        <is>
          <t>Full site review after a WordPress auto-update broke things.</t>
        </is>
      </c>
      <c r="F78" s="16" t="inlineStr">
        <is>
          <t>approved</t>
        </is>
      </c>
      <c r="G78" s="18" t="n">
        <v>0.08749999999999999</v>
      </c>
      <c r="H78" s="18" t="n">
        <v>0</v>
      </c>
      <c r="I78" s="18">
        <f>G78+H78</f>
        <v/>
      </c>
      <c r="J78" s="18" t="n">
        <v>0</v>
      </c>
      <c r="K78" s="19">
        <f>IF(J78&gt;=I78,"+","-")&amp;TEXT(ABS(J78-I78),"[h]""h"" mm""m""")</f>
        <v/>
      </c>
    </row>
    <row r="79">
      <c r="A79" s="16" t="inlineStr">
        <is>
          <t>Wk4  24 Aug–30 Aug</t>
        </is>
      </c>
      <c r="B79" s="16" t="inlineStr">
        <is>
          <t>khizer hayat</t>
        </is>
      </c>
      <c r="C79" s="16" t="inlineStr">
        <is>
          <t>Neowall</t>
        </is>
      </c>
      <c r="D79" s="17" t="inlineStr">
        <is>
          <t>UI Rewamp</t>
        </is>
      </c>
      <c r="E79" s="17" t="inlineStr">
        <is>
          <t>General UI fixes and improvements for Neowall.</t>
        </is>
      </c>
      <c r="F79" s="16" t="inlineStr">
        <is>
          <t>approved</t>
        </is>
      </c>
      <c r="G79" s="18" t="n">
        <v>0.01736111111111111</v>
      </c>
      <c r="H79" s="18" t="n">
        <v>0</v>
      </c>
      <c r="I79" s="18">
        <f>G79+H79</f>
        <v/>
      </c>
      <c r="J79" s="18" t="n">
        <v>0</v>
      </c>
      <c r="K79" s="19">
        <f>IF(J79&gt;=I79,"+","-")&amp;TEXT(ABS(J79-I79),"[h]""h"" mm""m""")</f>
        <v/>
      </c>
    </row>
    <row r="80">
      <c r="A80" s="16" t="inlineStr">
        <is>
          <t>Wk4  24 Aug–30 Aug</t>
        </is>
      </c>
      <c r="B80" s="16" t="inlineStr">
        <is>
          <t>khizer hayat</t>
        </is>
      </c>
      <c r="C80" s="16" t="inlineStr">
        <is>
          <t>Capital Car Finance (CCF)</t>
        </is>
      </c>
      <c r="D80" s="17" t="inlineStr">
        <is>
          <t>Warranty Product Page for Web and Mobile</t>
        </is>
      </c>
      <c r="E80" s="17" t="inlineStr">
        <is>
          <t>Building the warranty product page from the Figma design.</t>
        </is>
      </c>
      <c r="F80" s="16" t="inlineStr">
        <is>
          <t>approved</t>
        </is>
      </c>
      <c r="G80" s="18" t="n">
        <v>0.26875</v>
      </c>
      <c r="H80" s="18" t="n">
        <v>0</v>
      </c>
      <c r="I80" s="18">
        <f>G80+H80</f>
        <v/>
      </c>
      <c r="J80" s="18" t="n">
        <v>0</v>
      </c>
      <c r="K80" s="19">
        <f>IF(J80&gt;=I80,"+","-")&amp;TEXT(ABS(J80-I80),"[h]""h"" mm""m""")</f>
        <v/>
      </c>
    </row>
    <row r="81">
      <c r="A81" s="16" t="inlineStr">
        <is>
          <t>Wk5  31 Aug–06 Sep</t>
        </is>
      </c>
      <c r="B81" s="16" t="inlineStr">
        <is>
          <t>Abbas Khan</t>
        </is>
      </c>
      <c r="C81" s="16" t="inlineStr">
        <is>
          <t>Greta Grove</t>
        </is>
      </c>
      <c r="D81" s="17" t="inlineStr">
        <is>
          <t>Catalogue Page</t>
        </is>
      </c>
      <c r="E81" s="17" t="inlineStr">
        <is>
          <t>Creating and duplicating the catalogue page with content.</t>
        </is>
      </c>
      <c r="F81" s="16" t="inlineStr">
        <is>
          <t>review</t>
        </is>
      </c>
      <c r="G81" s="18" t="n">
        <v>0.1847222222222222</v>
      </c>
      <c r="H81" s="18" t="n">
        <v>0</v>
      </c>
      <c r="I81" s="18">
        <f>G81+H81</f>
        <v/>
      </c>
      <c r="J81" s="18" t="n">
        <v>0.125</v>
      </c>
      <c r="K81" s="19">
        <f>IF(J81&gt;=I81,"+","-")&amp;TEXT(ABS(J81-I81),"[h]""h"" mm""m""")</f>
        <v/>
      </c>
    </row>
    <row r="82">
      <c r="A82" s="16" t="inlineStr">
        <is>
          <t>Wk5  31 Aug–06 Sep</t>
        </is>
      </c>
      <c r="B82" s="16" t="inlineStr">
        <is>
          <t>Abbas Khan</t>
        </is>
      </c>
      <c r="C82" s="16" t="inlineStr">
        <is>
          <t>Greta Grove</t>
        </is>
      </c>
      <c r="D82" s="17" t="inlineStr">
        <is>
          <t>Develop Two Pending Pages</t>
        </is>
      </c>
      <c r="E82" s="17" t="inlineStr">
        <is>
          <t>Building the two website pages still outstanding.</t>
        </is>
      </c>
      <c r="F82" s="16" t="inlineStr">
        <is>
          <t>review</t>
        </is>
      </c>
      <c r="G82" s="18" t="n">
        <v>0.4805555555555556</v>
      </c>
      <c r="H82" s="18" t="n">
        <v>0</v>
      </c>
      <c r="I82" s="18">
        <f>G82+H82</f>
        <v/>
      </c>
      <c r="J82" s="18" t="n">
        <v>0.5625</v>
      </c>
      <c r="K82" s="19">
        <f>IF(J82&gt;=I82,"+","-")&amp;TEXT(ABS(J82-I82),"[h]""h"" mm""m""")</f>
        <v/>
      </c>
    </row>
    <row r="83">
      <c r="A83" s="16" t="inlineStr">
        <is>
          <t>Wk5  31 Aug–06 Sep</t>
        </is>
      </c>
      <c r="B83" s="16" t="inlineStr">
        <is>
          <t>Abbas Khan</t>
        </is>
      </c>
      <c r="C83" s="16" t="inlineStr">
        <is>
          <t>Greta Grove</t>
        </is>
      </c>
      <c r="D83" s="17" t="inlineStr">
        <is>
          <t>GretaGrove category content</t>
        </is>
      </c>
      <c r="E83" s="17" t="inlineStr">
        <is>
          <t>Reviewing categories and products and reporting missing data.</t>
        </is>
      </c>
      <c r="F83" s="16" t="inlineStr">
        <is>
          <t>approved</t>
        </is>
      </c>
      <c r="G83" s="18" t="n">
        <v>0.03402777777777777</v>
      </c>
      <c r="H83" s="18" t="n">
        <v>0</v>
      </c>
      <c r="I83" s="18">
        <f>G83+H83</f>
        <v/>
      </c>
      <c r="J83" s="18" t="n">
        <v>0</v>
      </c>
      <c r="K83" s="19">
        <f>IF(J83&gt;=I83,"+","-")&amp;TEXT(ABS(J83-I83),"[h]""h"" mm""m""")</f>
        <v/>
      </c>
    </row>
    <row r="84">
      <c r="A84" s="16" t="inlineStr">
        <is>
          <t>Wk5  31 Aug–06 Sep</t>
        </is>
      </c>
      <c r="B84" s="16" t="inlineStr">
        <is>
          <t>Abbas Khan</t>
        </is>
      </c>
      <c r="C84" s="16" t="inlineStr">
        <is>
          <t>Learning</t>
        </is>
      </c>
      <c r="D84" s="17" t="inlineStr">
        <is>
          <t>Learn Webflow</t>
        </is>
      </c>
      <c r="E84" s="17" t="inlineStr">
        <is>
          <t>Training time: learning Webflow because our own site will be built on it.</t>
        </is>
      </c>
      <c r="F84" s="16" t="inlineStr">
        <is>
          <t>in_progress</t>
        </is>
      </c>
      <c r="G84" s="18" t="n">
        <v>0.2006944444444445</v>
      </c>
      <c r="H84" s="18" t="n">
        <v>0</v>
      </c>
      <c r="I84" s="18">
        <f>G84+H84</f>
        <v/>
      </c>
      <c r="J84" s="18" t="n">
        <v>0.04166666666666666</v>
      </c>
      <c r="K84" s="19">
        <f>IF(J84&gt;=I84,"+","-")&amp;TEXT(ABS(J84-I84),"[h]""h"" mm""m""")</f>
        <v/>
      </c>
    </row>
    <row r="85">
      <c r="A85" s="16" t="inlineStr">
        <is>
          <t>Wk5  31 Aug–06 Sep</t>
        </is>
      </c>
      <c r="B85" s="16" t="inlineStr">
        <is>
          <t>Abbas Khan</t>
        </is>
      </c>
      <c r="C85" s="16" t="inlineStr">
        <is>
          <t>Bright Amber</t>
        </is>
      </c>
      <c r="D85" s="17" t="inlineStr">
        <is>
          <t>Website Amendments</t>
        </is>
      </c>
      <c r="E85" s="17" t="inlineStr">
        <is>
          <t>Making the website changes the client listed in a document.</t>
        </is>
      </c>
      <c r="F85" s="16" t="inlineStr">
        <is>
          <t>approved</t>
        </is>
      </c>
      <c r="G85" s="18" t="n">
        <v>0.02777777777777778</v>
      </c>
      <c r="H85" s="18" t="n">
        <v>0</v>
      </c>
      <c r="I85" s="18">
        <f>G85+H85</f>
        <v/>
      </c>
      <c r="J85" s="18" t="n">
        <v>0.02777777777777778</v>
      </c>
      <c r="K85" s="19">
        <f>IF(J85&gt;=I85,"+","-")&amp;TEXT(ABS(J85-I85),"[h]""h"" mm""m""")</f>
        <v/>
      </c>
    </row>
    <row r="86">
      <c r="A86" s="16" t="inlineStr">
        <is>
          <t>Wk5  31 Aug–06 Sep</t>
        </is>
      </c>
      <c r="B86" s="16" t="inlineStr">
        <is>
          <t>Abbas Khan</t>
        </is>
      </c>
      <c r="C86" s="16" t="inlineStr">
        <is>
          <t>Titan Forge</t>
        </is>
      </c>
      <c r="D86" s="17" t="inlineStr">
        <is>
          <t>Website Changes</t>
        </is>
      </c>
      <c r="E86" s="17" t="inlineStr">
        <is>
          <t>SEO-driven changes: category headings, descriptions and FAQ sections.</t>
        </is>
      </c>
      <c r="F86" s="16" t="inlineStr">
        <is>
          <t>approved</t>
        </is>
      </c>
      <c r="G86" s="18" t="n">
        <v>0.2465277777777778</v>
      </c>
      <c r="H86" s="18" t="n">
        <v>0</v>
      </c>
      <c r="I86" s="18">
        <f>G86+H86</f>
        <v/>
      </c>
      <c r="J86" s="18" t="n">
        <v>0.2847222222222222</v>
      </c>
      <c r="K86" s="19">
        <f>IF(J86&gt;=I86,"+","-")&amp;TEXT(ABS(J86-I86),"[h]""h"" mm""m""")</f>
        <v/>
      </c>
    </row>
    <row r="87">
      <c r="A87" s="16" t="inlineStr">
        <is>
          <t>Wk5  31 Aug–06 Sep</t>
        </is>
      </c>
      <c r="B87" s="16" t="inlineStr">
        <is>
          <t>Abbas Khan</t>
        </is>
      </c>
      <c r="C87" s="16" t="inlineStr">
        <is>
          <t>Oasis Fertility</t>
        </is>
      </c>
      <c r="D87" s="17" t="inlineStr">
        <is>
          <t>Website Fixes</t>
        </is>
      </c>
      <c r="E87" s="17" t="inlineStr">
        <is>
          <t>Fixing website issues listed in a shared Google Doc.</t>
        </is>
      </c>
      <c r="F87" s="16" t="inlineStr">
        <is>
          <t>review</t>
        </is>
      </c>
      <c r="G87" s="18" t="n">
        <v>0.1645833333333333</v>
      </c>
      <c r="H87" s="18" t="n">
        <v>0</v>
      </c>
      <c r="I87" s="18">
        <f>G87+H87</f>
        <v/>
      </c>
      <c r="J87" s="18" t="n">
        <v>0.1666666666666667</v>
      </c>
      <c r="K87" s="19">
        <f>IF(J87&gt;=I87,"+","-")&amp;TEXT(ABS(J87-I87),"[h]""h"" mm""m""")</f>
        <v/>
      </c>
    </row>
    <row r="88">
      <c r="A88" s="16" t="inlineStr">
        <is>
          <t>Wk5  31 Aug–06 Sep</t>
        </is>
      </c>
      <c r="B88" s="16" t="inlineStr">
        <is>
          <t>Abbas Khan</t>
        </is>
      </c>
      <c r="C88" s="16" t="inlineStr">
        <is>
          <t>Titan Forge</t>
        </is>
      </c>
      <c r="D88" s="17" t="inlineStr">
        <is>
          <t>Website New Amendments</t>
        </is>
      </c>
      <c r="E88" s="17" t="inlineStr">
        <is>
          <t>Website changes from the client's document.</t>
        </is>
      </c>
      <c r="F88" s="16" t="inlineStr">
        <is>
          <t>approved</t>
        </is>
      </c>
      <c r="G88" s="18" t="n">
        <v>0.1256944444444444</v>
      </c>
      <c r="H88" s="18" t="n">
        <v>0</v>
      </c>
      <c r="I88" s="18">
        <f>G88+H88</f>
        <v/>
      </c>
      <c r="J88" s="18" t="n">
        <v>0.2083333333333333</v>
      </c>
      <c r="K88" s="19">
        <f>IF(J88&gt;=I88,"+","-")&amp;TEXT(ABS(J88-I88),"[h]""h"" mm""m""")</f>
        <v/>
      </c>
    </row>
    <row r="89">
      <c r="A89" s="16" t="inlineStr">
        <is>
          <t>Wk5  31 Aug–06 Sep</t>
        </is>
      </c>
      <c r="B89" s="16" t="inlineStr">
        <is>
          <t>Muhammad Yahya</t>
        </is>
      </c>
      <c r="C89" s="16" t="inlineStr">
        <is>
          <t>Learning</t>
        </is>
      </c>
      <c r="D89" s="17" t="inlineStr">
        <is>
          <t>Elementor</t>
        </is>
      </c>
      <c r="E89" s="17" t="inlineStr">
        <is>
          <t>Training time: learning the Elementor page builder.</t>
        </is>
      </c>
      <c r="F89" s="16" t="inlineStr">
        <is>
          <t>in_progress</t>
        </is>
      </c>
      <c r="G89" s="18" t="n">
        <v>0.8340277777777778</v>
      </c>
      <c r="H89" s="18" t="n">
        <v>0.1215277777777778</v>
      </c>
      <c r="I89" s="18">
        <f>G89+H89</f>
        <v/>
      </c>
      <c r="J89" s="18" t="n">
        <v>0.4583333333333333</v>
      </c>
      <c r="K89" s="19">
        <f>IF(J89&gt;=I89,"+","-")&amp;TEXT(ABS(J89-I89),"[h]""h"" mm""m""")</f>
        <v/>
      </c>
    </row>
    <row r="90">
      <c r="A90" s="16" t="inlineStr">
        <is>
          <t>Wk5  31 Aug–06 Sep</t>
        </is>
      </c>
      <c r="B90" s="16" t="inlineStr">
        <is>
          <t>Muhammad Yahya</t>
        </is>
      </c>
      <c r="C90" s="16" t="inlineStr">
        <is>
          <t>Greta Grove</t>
        </is>
      </c>
      <c r="D90" s="17" t="inlineStr">
        <is>
          <t>GretaGrove category content</t>
        </is>
      </c>
      <c r="E90" s="17" t="inlineStr">
        <is>
          <t>Reviewing categories and products and reporting missing data.</t>
        </is>
      </c>
      <c r="F90" s="16" t="inlineStr">
        <is>
          <t>approved</t>
        </is>
      </c>
      <c r="G90" s="18" t="n">
        <v>0.04027777777777778</v>
      </c>
      <c r="H90" s="18" t="n">
        <v>0</v>
      </c>
      <c r="I90" s="18">
        <f>G90+H90</f>
        <v/>
      </c>
      <c r="J90" s="18" t="n">
        <v>0</v>
      </c>
      <c r="K90" s="19">
        <f>IF(J90&gt;=I90,"+","-")&amp;TEXT(ABS(J90-I90),"[h]""h"" mm""m""")</f>
        <v/>
      </c>
    </row>
    <row r="91">
      <c r="A91" s="16" t="inlineStr">
        <is>
          <t>Wk5  31 Aug–06 Sep</t>
        </is>
      </c>
      <c r="B91" s="16" t="inlineStr">
        <is>
          <t>Muhammad Yahya</t>
        </is>
      </c>
      <c r="C91" s="16" t="inlineStr">
        <is>
          <t>Learning</t>
        </is>
      </c>
      <c r="D91" s="17" t="inlineStr">
        <is>
          <t>Learn Webflow</t>
        </is>
      </c>
      <c r="E91" s="17" t="inlineStr">
        <is>
          <t>Training time: learning Webflow because our own site will be built on it.</t>
        </is>
      </c>
      <c r="F91" s="16" t="inlineStr">
        <is>
          <t>in_progress</t>
        </is>
      </c>
      <c r="G91" s="18" t="n">
        <v>0.007638888888888889</v>
      </c>
      <c r="H91" s="18" t="n">
        <v>0</v>
      </c>
      <c r="I91" s="18">
        <f>G91+H91</f>
        <v/>
      </c>
      <c r="J91" s="18" t="n">
        <v>0</v>
      </c>
      <c r="K91" s="19">
        <f>IF(J91&gt;=I91,"+","-")&amp;TEXT(ABS(J91-I91),"[h]""h"" mm""m""")</f>
        <v/>
      </c>
    </row>
    <row r="92">
      <c r="A92" s="16" t="inlineStr">
        <is>
          <t>Wk5  31 Aug–06 Sep</t>
        </is>
      </c>
      <c r="B92" s="16" t="inlineStr">
        <is>
          <t>Muhammad Yahya</t>
        </is>
      </c>
      <c r="C92" s="16" t="inlineStr">
        <is>
          <t>Cricket Sansar</t>
        </is>
      </c>
      <c r="D92" s="17" t="inlineStr">
        <is>
          <t>Sponsorship Bat Page UI</t>
        </is>
      </c>
      <c r="E92" s="17" t="inlineStr">
        <is>
          <t>Designing the sponsorship bat page for the web app.</t>
        </is>
      </c>
      <c r="F92" s="16" t="inlineStr">
        <is>
          <t>approved</t>
        </is>
      </c>
      <c r="G92" s="18" t="n">
        <v>0.2819444444444444</v>
      </c>
      <c r="H92" s="18" t="n">
        <v>0.0763888888888889</v>
      </c>
      <c r="I92" s="18">
        <f>G92+H92</f>
        <v/>
      </c>
      <c r="J92" s="18" t="n">
        <v>0</v>
      </c>
      <c r="K92" s="19">
        <f>IF(J92&gt;=I92,"+","-")&amp;TEXT(ABS(J92-I92),"[h]""h"" mm""m""")</f>
        <v/>
      </c>
    </row>
    <row r="93">
      <c r="A93" s="16" t="inlineStr">
        <is>
          <t>Wk5  31 Aug–06 Sep</t>
        </is>
      </c>
      <c r="B93" s="16" t="inlineStr">
        <is>
          <t>Muhammad Yahya</t>
        </is>
      </c>
      <c r="C93" s="16" t="inlineStr">
        <is>
          <t>Titan Forge</t>
        </is>
      </c>
      <c r="D93" s="17" t="inlineStr">
        <is>
          <t>Website Changes</t>
        </is>
      </c>
      <c r="E93" s="17" t="inlineStr">
        <is>
          <t>SEO-driven changes: category headings, descriptions and FAQ sections.</t>
        </is>
      </c>
      <c r="F93" s="16" t="inlineStr">
        <is>
          <t>approved</t>
        </is>
      </c>
      <c r="G93" s="18" t="n">
        <v>0.1277777777777778</v>
      </c>
      <c r="H93" s="18" t="n">
        <v>0</v>
      </c>
      <c r="I93" s="18">
        <f>G93+H93</f>
        <v/>
      </c>
      <c r="J93" s="18" t="n">
        <v>0</v>
      </c>
      <c r="K93" s="19">
        <f>IF(J93&gt;=I93,"+","-")&amp;TEXT(ABS(J93-I93),"[h]""h"" mm""m""")</f>
        <v/>
      </c>
    </row>
    <row r="94">
      <c r="A94" s="16" t="inlineStr">
        <is>
          <t>Wk5  31 Aug–06 Sep</t>
        </is>
      </c>
      <c r="B94" s="16" t="inlineStr">
        <is>
          <t>Muhammad Yahya</t>
        </is>
      </c>
      <c r="C94" s="16" t="inlineStr">
        <is>
          <t>Neowall</t>
        </is>
      </c>
      <c r="D94" s="17" t="inlineStr">
        <is>
          <t>Website Fixes</t>
        </is>
      </c>
      <c r="E94" s="17" t="inlineStr">
        <is>
          <t>Fixing website issues listed in a shared Google Doc.</t>
        </is>
      </c>
      <c r="F94" s="16" t="inlineStr">
        <is>
          <t>approved</t>
        </is>
      </c>
      <c r="G94" s="18" t="n">
        <v>0.02569444444444444</v>
      </c>
      <c r="H94" s="18" t="n">
        <v>0</v>
      </c>
      <c r="I94" s="18">
        <f>G94+H94</f>
        <v/>
      </c>
      <c r="J94" s="18" t="n">
        <v>0</v>
      </c>
      <c r="K94" s="19">
        <f>IF(J94&gt;=I94,"+","-")&amp;TEXT(ABS(J94-I94),"[h]""h"" mm""m""")</f>
        <v/>
      </c>
    </row>
    <row r="95">
      <c r="A95" s="16" t="inlineStr">
        <is>
          <t>Wk5  31 Aug–06 Sep</t>
        </is>
      </c>
      <c r="B95" s="16" t="inlineStr">
        <is>
          <t>Sajawal Khan</t>
        </is>
      </c>
      <c r="C95" s="16" t="inlineStr">
        <is>
          <t>Zedan</t>
        </is>
      </c>
      <c r="D95" s="17" t="inlineStr">
        <is>
          <t>Clearance Sale on Website</t>
        </is>
      </c>
      <c r="E95" s="17" t="inlineStr">
        <is>
          <t>Creating the clearance collection with 35% off applied.</t>
        </is>
      </c>
      <c r="F95" s="16" t="inlineStr">
        <is>
          <t>approved</t>
        </is>
      </c>
      <c r="G95" s="18" t="n">
        <v>0.09027777777777778</v>
      </c>
      <c r="H95" s="18" t="n">
        <v>0</v>
      </c>
      <c r="I95" s="18">
        <f>G95+H95</f>
        <v/>
      </c>
      <c r="J95" s="18" t="n">
        <v>0.08333333333333333</v>
      </c>
      <c r="K95" s="19">
        <f>IF(J95&gt;=I95,"+","-")&amp;TEXT(ABS(J95-I95),"[h]""h"" mm""m""")</f>
        <v/>
      </c>
    </row>
    <row r="96">
      <c r="A96" s="16" t="inlineStr">
        <is>
          <t>Wk5  31 Aug–06 Sep</t>
        </is>
      </c>
      <c r="B96" s="16" t="inlineStr">
        <is>
          <t>Sajawal Khan</t>
        </is>
      </c>
      <c r="C96" s="16" t="inlineStr">
        <is>
          <t>Neowall</t>
        </is>
      </c>
      <c r="D96" s="17" t="inlineStr">
        <is>
          <t>List of Actions</t>
        </is>
      </c>
      <c r="E96" s="17" t="inlineStr">
        <is>
          <t>A list of small actions held as subtasks.</t>
        </is>
      </c>
      <c r="F96" s="16" t="inlineStr">
        <is>
          <t>blocked</t>
        </is>
      </c>
      <c r="G96" s="18" t="n">
        <v>0.05416666666666667</v>
      </c>
      <c r="H96" s="18" t="n">
        <v>0</v>
      </c>
      <c r="I96" s="18">
        <f>G96+H96</f>
        <v/>
      </c>
      <c r="J96" s="18" t="n">
        <v>0</v>
      </c>
      <c r="K96" s="19">
        <f>IF(J96&gt;=I96,"+","-")&amp;TEXT(ABS(J96-I96),"[h]""h"" mm""m""")</f>
        <v/>
      </c>
    </row>
    <row r="97">
      <c r="A97" s="16" t="inlineStr">
        <is>
          <t>Wk5  31 Aug–06 Sep</t>
        </is>
      </c>
      <c r="B97" s="16" t="inlineStr">
        <is>
          <t>Sajawal Khan</t>
        </is>
      </c>
      <c r="C97" s="16" t="inlineStr">
        <is>
          <t>Builders Trade Depot</t>
        </is>
      </c>
      <c r="D97" s="17" t="inlineStr">
        <is>
          <t>New Products Upload from a website</t>
        </is>
      </c>
      <c r="E97" s="17" t="inlineStr">
        <is>
          <t>Copying products from a supplier site onto our client's store.</t>
        </is>
      </c>
      <c r="F97" s="16" t="inlineStr">
        <is>
          <t>approved</t>
        </is>
      </c>
      <c r="G97" s="18" t="n">
        <v>0.8048611111111111</v>
      </c>
      <c r="H97" s="18" t="n">
        <v>0.02777777777777778</v>
      </c>
      <c r="I97" s="18">
        <f>G97+H97</f>
        <v/>
      </c>
      <c r="J97" s="18" t="n">
        <v>0.5416666666666666</v>
      </c>
      <c r="K97" s="19">
        <f>IF(J97&gt;=I97,"+","-")&amp;TEXT(ABS(J97-I97),"[h]""h"" mm""m""")</f>
        <v/>
      </c>
    </row>
    <row r="98">
      <c r="A98" s="16" t="inlineStr">
        <is>
          <t>Wk5  31 Aug–06 Sep</t>
        </is>
      </c>
      <c r="B98" s="16" t="inlineStr">
        <is>
          <t>Sajawal Khan</t>
        </is>
      </c>
      <c r="C98" s="16" t="inlineStr">
        <is>
          <t>Zedan</t>
        </is>
      </c>
      <c r="D98" s="17" t="inlineStr">
        <is>
          <t>Product Upload</t>
        </is>
      </c>
      <c r="E98" s="17" t="inlineStr">
        <is>
          <t>Replacing product images with the stitched-sole versions.</t>
        </is>
      </c>
      <c r="F98" s="16" t="inlineStr">
        <is>
          <t>blocked</t>
        </is>
      </c>
      <c r="G98" s="18" t="n">
        <v>0.05069444444444444</v>
      </c>
      <c r="H98" s="18" t="n">
        <v>0</v>
      </c>
      <c r="I98" s="18">
        <f>G98+H98</f>
        <v/>
      </c>
      <c r="J98" s="18" t="n">
        <v>0</v>
      </c>
      <c r="K98" s="19">
        <f>IF(J98&gt;=I98,"+","-")&amp;TEXT(ABS(J98-I98),"[h]""h"" mm""m""")</f>
        <v/>
      </c>
    </row>
    <row r="99">
      <c r="A99" s="16" t="inlineStr">
        <is>
          <t>Wk5  31 Aug–06 Sep</t>
        </is>
      </c>
      <c r="B99" s="16" t="inlineStr">
        <is>
          <t>Sajawal Khan</t>
        </is>
      </c>
      <c r="C99" s="16" t="inlineStr">
        <is>
          <t>Zedan</t>
        </is>
      </c>
      <c r="D99" s="17" t="inlineStr">
        <is>
          <t>Zedan Product Upload</t>
        </is>
      </c>
      <c r="E99" s="17" t="inlineStr">
        <is>
          <t>Uploading shoot 5 and 6 product images.</t>
        </is>
      </c>
      <c r="F99" s="16" t="inlineStr">
        <is>
          <t>blocked</t>
        </is>
      </c>
      <c r="G99" s="18" t="n">
        <v>0.04791666666666667</v>
      </c>
      <c r="H99" s="18" t="n">
        <v>0</v>
      </c>
      <c r="I99" s="18">
        <f>G99+H99</f>
        <v/>
      </c>
      <c r="J99" s="18" t="n">
        <v>0</v>
      </c>
      <c r="K99" s="19">
        <f>IF(J99&gt;=I99,"+","-")&amp;TEXT(ABS(J99-I99),"[h]""h"" mm""m""")</f>
        <v/>
      </c>
    </row>
    <row r="100">
      <c r="A100" s="16" t="inlineStr">
        <is>
          <t>Wk5  31 Aug–06 Sep</t>
        </is>
      </c>
      <c r="B100" s="16" t="inlineStr">
        <is>
          <t>Zain Malik</t>
        </is>
      </c>
      <c r="C100" s="16" t="inlineStr">
        <is>
          <t>Linknbit Portal</t>
        </is>
      </c>
      <c r="D100" s="17" t="inlineStr">
        <is>
          <t>Chat design fixes</t>
        </is>
      </c>
      <c r="E100" s="17" t="inlineStr">
        <is>
          <t>Fixing the design of the portal's chat feature.</t>
        </is>
      </c>
      <c r="F100" s="16" t="inlineStr">
        <is>
          <t>approved</t>
        </is>
      </c>
      <c r="G100" s="18" t="n">
        <v>0.3076388888888889</v>
      </c>
      <c r="H100" s="18" t="n">
        <v>0.03819444444444445</v>
      </c>
      <c r="I100" s="18">
        <f>G100+H100</f>
        <v/>
      </c>
      <c r="J100" s="18" t="n">
        <v>0.25</v>
      </c>
      <c r="K100" s="19">
        <f>IF(J100&gt;=I100,"+","-")&amp;TEXT(ABS(J100-I100),"[h]""h"" mm""m""")</f>
        <v/>
      </c>
    </row>
    <row r="101">
      <c r="A101" s="16" t="inlineStr">
        <is>
          <t>Wk5  31 Aug–06 Sep</t>
        </is>
      </c>
      <c r="B101" s="16" t="inlineStr">
        <is>
          <t>Zain Malik</t>
        </is>
      </c>
      <c r="C101" s="16" t="inlineStr">
        <is>
          <t>Shifa</t>
        </is>
      </c>
      <c r="D101" s="17" t="inlineStr">
        <is>
          <t>Complete the project</t>
        </is>
      </c>
      <c r="E101" s="17" t="inlineStr">
        <is>
          <t>Finishing off the remaining Shifa project work.</t>
        </is>
      </c>
      <c r="F101" s="16" t="inlineStr">
        <is>
          <t>todo</t>
        </is>
      </c>
      <c r="G101" s="18" t="n">
        <v>0.3993055555555556</v>
      </c>
      <c r="H101" s="18" t="n">
        <v>0</v>
      </c>
      <c r="I101" s="18">
        <f>G101+H101</f>
        <v/>
      </c>
      <c r="J101" s="18" t="n">
        <v>0.4583333333333333</v>
      </c>
      <c r="K101" s="19">
        <f>IF(J101&gt;=I101,"+","-")&amp;TEXT(ABS(J101-I101),"[h]""h"" mm""m""")</f>
        <v/>
      </c>
    </row>
    <row r="102">
      <c r="A102" s="16" t="inlineStr">
        <is>
          <t>Wk5  31 Aug–06 Sep</t>
        </is>
      </c>
      <c r="B102" s="16" t="inlineStr">
        <is>
          <t>Zain Malik</t>
        </is>
      </c>
      <c r="C102" s="16" t="inlineStr">
        <is>
          <t>Cricket Sansar</t>
        </is>
      </c>
      <c r="D102" s="17" t="inlineStr">
        <is>
          <t>General Fixes</t>
        </is>
      </c>
      <c r="E102" s="17" t="inlineStr">
        <is>
          <t>Reviewing the product and fixing whatever is broken.</t>
        </is>
      </c>
      <c r="F102" s="16" t="inlineStr">
        <is>
          <t>todo</t>
        </is>
      </c>
      <c r="G102" s="18" t="n">
        <v>0.2951388888888889</v>
      </c>
      <c r="H102" s="18" t="n">
        <v>0</v>
      </c>
      <c r="I102" s="18">
        <f>G102+H102</f>
        <v/>
      </c>
      <c r="J102" s="18" t="n">
        <v>0.625</v>
      </c>
      <c r="K102" s="19">
        <f>IF(J102&gt;=I102,"+","-")&amp;TEXT(ABS(J102-I102),"[h]""h"" mm""m""")</f>
        <v/>
      </c>
    </row>
    <row r="103">
      <c r="A103" s="16" t="inlineStr">
        <is>
          <t>Wk5  31 Aug–06 Sep</t>
        </is>
      </c>
      <c r="B103" s="16" t="inlineStr">
        <is>
          <t>Zain Malik</t>
        </is>
      </c>
      <c r="C103" s="16" t="inlineStr">
        <is>
          <t>Cricket Sansar</t>
        </is>
      </c>
      <c r="D103" s="17" t="inlineStr">
        <is>
          <t>Lock Screen Activity</t>
        </is>
      </c>
      <c r="E103" s="17" t="inlineStr">
        <is>
          <t>Building a lock-screen feature for Android, iOS and web.</t>
        </is>
      </c>
      <c r="F103" s="16" t="inlineStr">
        <is>
          <t>approved</t>
        </is>
      </c>
      <c r="G103" s="18" t="n">
        <v>0.06944444444444445</v>
      </c>
      <c r="H103" s="18" t="n">
        <v>0</v>
      </c>
      <c r="I103" s="18">
        <f>G103+H103</f>
        <v/>
      </c>
      <c r="J103" s="18" t="n">
        <v>0</v>
      </c>
      <c r="K103" s="19">
        <f>IF(J103&gt;=I103,"+","-")&amp;TEXT(ABS(J103-I103),"[h]""h"" mm""m""")</f>
        <v/>
      </c>
    </row>
    <row r="104">
      <c r="A104" s="16" t="inlineStr">
        <is>
          <t>Wk5  31 Aug–06 Sep</t>
        </is>
      </c>
      <c r="B104" s="16" t="inlineStr">
        <is>
          <t>Zain Malik</t>
        </is>
      </c>
      <c r="C104" s="16" t="inlineStr">
        <is>
          <t>Cricket Sansar</t>
        </is>
      </c>
      <c r="D104" s="17" t="inlineStr">
        <is>
          <t>Sponsorship Bat Page UI</t>
        </is>
      </c>
      <c r="E104" s="17" t="inlineStr">
        <is>
          <t>Designing the sponsorship bat page for the web app.</t>
        </is>
      </c>
      <c r="F104" s="16" t="inlineStr">
        <is>
          <t>approved</t>
        </is>
      </c>
      <c r="G104" s="18" t="n">
        <v>0.1659722222222222</v>
      </c>
      <c r="H104" s="18" t="n">
        <v>0</v>
      </c>
      <c r="I104" s="18">
        <f>G104+H104</f>
        <v/>
      </c>
      <c r="J104" s="18" t="n">
        <v>0</v>
      </c>
      <c r="K104" s="19">
        <f>IF(J104&gt;=I104,"+","-")&amp;TEXT(ABS(J104-I104),"[h]""h"" mm""m""")</f>
        <v/>
      </c>
    </row>
    <row r="105">
      <c r="A105" s="16" t="inlineStr">
        <is>
          <t>Wk5  31 Aug–06 Sep</t>
        </is>
      </c>
      <c r="B105" s="16" t="inlineStr">
        <is>
          <t>khizer hayat</t>
        </is>
      </c>
      <c r="C105" s="16" t="inlineStr">
        <is>
          <t>Neowall</t>
        </is>
      </c>
      <c r="D105" s="17" t="inlineStr">
        <is>
          <t>Apply the ammendments requested by client</t>
        </is>
      </c>
      <c r="E105" s="17" t="inlineStr">
        <is>
          <t>Applying the client's requested website amendments.</t>
        </is>
      </c>
      <c r="F105" s="16" t="inlineStr">
        <is>
          <t>completed</t>
        </is>
      </c>
      <c r="G105" s="18" t="n">
        <v>0</v>
      </c>
      <c r="H105" s="18" t="n">
        <v>0</v>
      </c>
      <c r="I105" s="18">
        <f>G105+H105</f>
        <v/>
      </c>
      <c r="J105" s="18" t="n">
        <v>0.3333333333333333</v>
      </c>
      <c r="K105" s="19">
        <f>IF(J105&gt;=I105,"+","-")&amp;TEXT(ABS(J105-I105),"[h]""h"" mm""m""")</f>
        <v/>
      </c>
    </row>
    <row r="106">
      <c r="A106" s="16" t="inlineStr">
        <is>
          <t>Wk5  31 Aug–06 Sep</t>
        </is>
      </c>
      <c r="B106" s="16" t="inlineStr">
        <is>
          <t>khizer hayat</t>
        </is>
      </c>
      <c r="C106" s="16" t="inlineStr">
        <is>
          <t>Neowall</t>
        </is>
      </c>
      <c r="D106" s="17" t="inlineStr">
        <is>
          <t>List of Actions</t>
        </is>
      </c>
      <c r="E106" s="17" t="inlineStr">
        <is>
          <t>A list of small actions held as subtasks.</t>
        </is>
      </c>
      <c r="F106" s="16" t="inlineStr">
        <is>
          <t>blocked</t>
        </is>
      </c>
      <c r="G106" s="18" t="n">
        <v>0.02361111111111111</v>
      </c>
      <c r="H106" s="18" t="n">
        <v>0</v>
      </c>
      <c r="I106" s="18">
        <f>G106+H106</f>
        <v/>
      </c>
      <c r="J106" s="18" t="n">
        <v>0</v>
      </c>
      <c r="K106" s="19">
        <f>IF(J106&gt;=I106,"+","-")&amp;TEXT(ABS(J106-I106),"[h]""h"" mm""m""")</f>
        <v/>
      </c>
    </row>
    <row r="107">
      <c r="A107" s="16" t="inlineStr">
        <is>
          <t>Wk5  31 Aug–06 Sep</t>
        </is>
      </c>
      <c r="B107" s="16" t="inlineStr">
        <is>
          <t>khizer hayat</t>
        </is>
      </c>
      <c r="C107" s="16" t="inlineStr">
        <is>
          <t>Neowall</t>
        </is>
      </c>
      <c r="D107" s="17" t="inlineStr">
        <is>
          <t>Please Make the following amendments to the website</t>
        </is>
      </c>
      <c r="E107" s="17" t="inlineStr">
        <is>
          <t>A client list of wording and label changes, incl. stock messaging.</t>
        </is>
      </c>
      <c r="F107" s="16" t="inlineStr">
        <is>
          <t>in_progress</t>
        </is>
      </c>
      <c r="G107" s="18" t="n">
        <v>0.3944444444444444</v>
      </c>
      <c r="H107" s="18" t="n">
        <v>0</v>
      </c>
      <c r="I107" s="18">
        <f>G107+H107</f>
        <v/>
      </c>
      <c r="J107" s="18" t="n">
        <v>0</v>
      </c>
      <c r="K107" s="19">
        <f>IF(J107&gt;=I107,"+","-")&amp;TEXT(ABS(J107-I107),"[h]""h"" mm""m""")</f>
        <v/>
      </c>
    </row>
    <row r="108">
      <c r="A108" s="16" t="inlineStr">
        <is>
          <t>Wk5  31 Aug–06 Sep</t>
        </is>
      </c>
      <c r="B108" s="16" t="inlineStr">
        <is>
          <t>khizer hayat</t>
        </is>
      </c>
      <c r="C108" s="16" t="inlineStr">
        <is>
          <t>Capital Car Finance (CCF)</t>
        </is>
      </c>
      <c r="D108" s="17" t="inlineStr">
        <is>
          <t>Warranty Product Page for Web and Mobile</t>
        </is>
      </c>
      <c r="E108" s="17" t="inlineStr">
        <is>
          <t>Building the warranty product page from the Figma design.</t>
        </is>
      </c>
      <c r="F108" s="16" t="inlineStr">
        <is>
          <t>approved</t>
        </is>
      </c>
      <c r="G108" s="18" t="n">
        <v>0.04097222222222222</v>
      </c>
      <c r="H108" s="18" t="n">
        <v>0</v>
      </c>
      <c r="I108" s="18">
        <f>G108+H108</f>
        <v/>
      </c>
      <c r="J108" s="18" t="n">
        <v>0</v>
      </c>
      <c r="K108" s="19">
        <f>IF(J108&gt;=I108,"+","-")&amp;TEXT(ABS(J108-I108),"[h]""h"" mm""m""")</f>
        <v/>
      </c>
    </row>
    <row r="109">
      <c r="A109" s="16" t="inlineStr">
        <is>
          <t>Wk5  31 Aug–06 Sep</t>
        </is>
      </c>
      <c r="B109" s="16" t="inlineStr">
        <is>
          <t>khizer hayat</t>
        </is>
      </c>
      <c r="C109" s="16" t="inlineStr">
        <is>
          <t>Neowall</t>
        </is>
      </c>
      <c r="D109" s="17" t="inlineStr">
        <is>
          <t>Website Fixes</t>
        </is>
      </c>
      <c r="E109" s="17" t="inlineStr">
        <is>
          <t>Fixing website issues listed in a shared Google Doc.</t>
        </is>
      </c>
      <c r="F109" s="16" t="inlineStr">
        <is>
          <t>approved</t>
        </is>
      </c>
      <c r="G109" s="18" t="n">
        <v>0.1006944444444444</v>
      </c>
      <c r="H109" s="18" t="n">
        <v>0</v>
      </c>
      <c r="I109" s="18">
        <f>G109+H109</f>
        <v/>
      </c>
      <c r="J109" s="18" t="n">
        <v>0</v>
      </c>
      <c r="K109" s="19">
        <f>IF(J109&gt;=I109,"+","-")&amp;TEXT(ABS(J109-I109),"[h]""h"" mm""m""")</f>
        <v/>
      </c>
    </row>
    <row r="110">
      <c r="A110" s="16" t="inlineStr">
        <is>
          <t>Wk5  31 Aug–06 Sep</t>
        </is>
      </c>
      <c r="B110" s="16" t="inlineStr">
        <is>
          <t>khizer hayat</t>
        </is>
      </c>
      <c r="C110" s="16" t="inlineStr">
        <is>
          <t>Starr Luxury Cars</t>
        </is>
      </c>
      <c r="D110" s="17" t="inlineStr">
        <is>
          <t>Website Fixes</t>
        </is>
      </c>
      <c r="E110" s="17" t="inlineStr">
        <is>
          <t>Fixing website issues listed in a shared Google Doc.</t>
        </is>
      </c>
      <c r="F110" s="16" t="inlineStr">
        <is>
          <t>approved</t>
        </is>
      </c>
      <c r="G110" s="18" t="n">
        <v>0.05138888888888889</v>
      </c>
      <c r="H110" s="18" t="n">
        <v>0</v>
      </c>
      <c r="I110" s="18">
        <f>G110+H110</f>
        <v/>
      </c>
      <c r="J110" s="18" t="n">
        <v>0</v>
      </c>
      <c r="K110" s="19">
        <f>IF(J110&gt;=I110,"+","-")&amp;TEXT(ABS(J110-I110),"[h]""h"" mm""m""")</f>
        <v/>
      </c>
    </row>
    <row r="111">
      <c r="A111" s="16" t="inlineStr">
        <is>
          <t>Wk6  07 Sep–13 Sep</t>
        </is>
      </c>
      <c r="B111" s="16" t="inlineStr">
        <is>
          <t>Abbas Khan</t>
        </is>
      </c>
      <c r="C111" s="16" t="inlineStr">
        <is>
          <t>Greta Grove</t>
        </is>
      </c>
      <c r="D111" s="17" t="inlineStr">
        <is>
          <t>Develop Two Pending Pages</t>
        </is>
      </c>
      <c r="E111" s="17" t="inlineStr">
        <is>
          <t>Building the two website pages still outstanding.</t>
        </is>
      </c>
      <c r="F111" s="16" t="inlineStr">
        <is>
          <t>review</t>
        </is>
      </c>
      <c r="G111" s="18" t="n">
        <v>0.03472222222222222</v>
      </c>
      <c r="H111" s="18" t="n">
        <v>0</v>
      </c>
      <c r="I111" s="18">
        <f>G111+H111</f>
        <v/>
      </c>
      <c r="J111" s="18" t="n">
        <v>0</v>
      </c>
      <c r="K111" s="19">
        <f>IF(J111&gt;=I111,"+","-")&amp;TEXT(ABS(J111-I111),"[h]""h"" mm""m""")</f>
        <v/>
      </c>
    </row>
    <row r="112">
      <c r="A112" s="16" t="inlineStr">
        <is>
          <t>Wk6  07 Sep–13 Sep</t>
        </is>
      </c>
      <c r="B112" s="16" t="inlineStr">
        <is>
          <t>Abbas Khan</t>
        </is>
      </c>
      <c r="C112" s="16" t="inlineStr">
        <is>
          <t>Oasis Fertility</t>
        </is>
      </c>
      <c r="D112" s="17" t="inlineStr">
        <is>
          <t>Fix mobile responsiveness of a page</t>
        </is>
      </c>
      <c r="E112" s="17" t="inlineStr">
        <is>
          <t>Fixing a page that breaks on mobile.</t>
        </is>
      </c>
      <c r="F112" s="16" t="inlineStr">
        <is>
          <t>review</t>
        </is>
      </c>
      <c r="G112" s="18" t="n">
        <v>0.2798611111111111</v>
      </c>
      <c r="H112" s="18" t="n">
        <v>0</v>
      </c>
      <c r="I112" s="18">
        <f>G112+H112</f>
        <v/>
      </c>
      <c r="J112" s="18" t="n">
        <v>0.2013888888888889</v>
      </c>
      <c r="K112" s="19">
        <f>IF(J112&gt;=I112,"+","-")&amp;TEXT(ABS(J112-I112),"[h]""h"" mm""m""")</f>
        <v/>
      </c>
    </row>
    <row r="113">
      <c r="A113" s="16" t="inlineStr">
        <is>
          <t>Wk6  07 Sep–13 Sep</t>
        </is>
      </c>
      <c r="B113" s="16" t="inlineStr">
        <is>
          <t>Abbas Khan</t>
        </is>
      </c>
      <c r="C113" s="16" t="inlineStr">
        <is>
          <t>Greta Grove</t>
        </is>
      </c>
      <c r="D113" s="17" t="inlineStr">
        <is>
          <t>Greta Grovev Website Security Measures</t>
        </is>
      </c>
      <c r="E113" s="17" t="inlineStr">
        <is>
          <t>Securing the site after it was hacked again.</t>
        </is>
      </c>
      <c r="F113" s="16" t="inlineStr">
        <is>
          <t>completed</t>
        </is>
      </c>
      <c r="G113" s="18" t="n">
        <v>0.02986111111111111</v>
      </c>
      <c r="H113" s="18" t="n">
        <v>0</v>
      </c>
      <c r="I113" s="18">
        <f>G113+H113</f>
        <v/>
      </c>
      <c r="J113" s="18" t="n">
        <v>0.04861111111111111</v>
      </c>
      <c r="K113" s="19">
        <f>IF(J113&gt;=I113,"+","-")&amp;TEXT(ABS(J113-I113),"[h]""h"" mm""m""")</f>
        <v/>
      </c>
    </row>
    <row r="114">
      <c r="A114" s="16" t="inlineStr">
        <is>
          <t>Wk6  07 Sep–13 Sep</t>
        </is>
      </c>
      <c r="B114" s="16" t="inlineStr">
        <is>
          <t>Abbas Khan</t>
        </is>
      </c>
      <c r="C114" s="16" t="inlineStr">
        <is>
          <t>Learning</t>
        </is>
      </c>
      <c r="D114" s="17" t="inlineStr">
        <is>
          <t>Learn Webflow</t>
        </is>
      </c>
      <c r="E114" s="17" t="inlineStr">
        <is>
          <t>Training time: learning Webflow because our own site will be built on it.</t>
        </is>
      </c>
      <c r="F114" s="16" t="inlineStr">
        <is>
          <t>in_progress</t>
        </is>
      </c>
      <c r="G114" s="18" t="n">
        <v>0.07847222222222222</v>
      </c>
      <c r="H114" s="18" t="n">
        <v>0</v>
      </c>
      <c r="I114" s="18">
        <f>G114+H114</f>
        <v/>
      </c>
      <c r="J114" s="18" t="n">
        <v>0.1381944444444445</v>
      </c>
      <c r="K114" s="19">
        <f>IF(J114&gt;=I114,"+","-")&amp;TEXT(ABS(J114-I114),"[h]""h"" mm""m""")</f>
        <v/>
      </c>
    </row>
    <row r="115">
      <c r="A115" s="16" t="inlineStr">
        <is>
          <t>Wk6  07 Sep–13 Sep</t>
        </is>
      </c>
      <c r="B115" s="16" t="inlineStr">
        <is>
          <t>Abbas Khan</t>
        </is>
      </c>
      <c r="C115" s="16" t="inlineStr">
        <is>
          <t>Rise of Burges</t>
        </is>
      </c>
      <c r="D115" s="17" t="inlineStr">
        <is>
          <t>New Pop up</t>
        </is>
      </c>
      <c r="E115" s="17" t="inlineStr">
        <is>
          <t>A buy-ticket popup covering the different locations.</t>
        </is>
      </c>
      <c r="F115" s="16" t="inlineStr">
        <is>
          <t>approved</t>
        </is>
      </c>
      <c r="G115" s="18" t="n">
        <v>0.04583333333333333</v>
      </c>
      <c r="H115" s="18" t="n">
        <v>0</v>
      </c>
      <c r="I115" s="18">
        <f>G115+H115</f>
        <v/>
      </c>
      <c r="J115" s="18" t="n">
        <v>0.04583333333333333</v>
      </c>
      <c r="K115" s="19">
        <f>IF(J115&gt;=I115,"+","-")&amp;TEXT(ABS(J115-I115),"[h]""h"" mm""m""")</f>
        <v/>
      </c>
    </row>
    <row r="116">
      <c r="A116" s="16" t="inlineStr">
        <is>
          <t>Wk6  07 Sep–13 Sep</t>
        </is>
      </c>
      <c r="B116" s="16" t="inlineStr">
        <is>
          <t>Abbas Khan</t>
        </is>
      </c>
      <c r="C116" s="16" t="inlineStr">
        <is>
          <t>Oasis Fertility</t>
        </is>
      </c>
      <c r="D116" s="17" t="inlineStr">
        <is>
          <t>Website Fixes</t>
        </is>
      </c>
      <c r="E116" s="17" t="inlineStr">
        <is>
          <t>Fixing website issues listed in a shared Google Doc.</t>
        </is>
      </c>
      <c r="F116" s="16" t="inlineStr">
        <is>
          <t>review</t>
        </is>
      </c>
      <c r="G116" s="18" t="n">
        <v>0.04375</v>
      </c>
      <c r="H116" s="18" t="n">
        <v>0</v>
      </c>
      <c r="I116" s="18">
        <f>G116+H116</f>
        <v/>
      </c>
      <c r="J116" s="18" t="n">
        <v>0.02430555555555556</v>
      </c>
      <c r="K116" s="19">
        <f>IF(J116&gt;=I116,"+","-")&amp;TEXT(ABS(J116-I116),"[h]""h"" mm""m""")</f>
        <v/>
      </c>
    </row>
    <row r="117">
      <c r="A117" s="16" t="inlineStr">
        <is>
          <t>Wk6  07 Sep–13 Sep</t>
        </is>
      </c>
      <c r="B117" s="16" t="inlineStr">
        <is>
          <t>Abbas Khan</t>
        </is>
      </c>
      <c r="C117" s="16" t="inlineStr">
        <is>
          <t>Titan Forge</t>
        </is>
      </c>
      <c r="D117" s="17" t="inlineStr">
        <is>
          <t>Website Fixes</t>
        </is>
      </c>
      <c r="E117" s="17" t="inlineStr">
        <is>
          <t>Fixing website issues listed in a shared Google Doc.</t>
        </is>
      </c>
      <c r="F117" s="16" t="inlineStr">
        <is>
          <t>approved</t>
        </is>
      </c>
      <c r="G117" s="18" t="n">
        <v>0.07222222222222222</v>
      </c>
      <c r="H117" s="18" t="n">
        <v>0</v>
      </c>
      <c r="I117" s="18">
        <f>G117+H117</f>
        <v/>
      </c>
      <c r="J117" s="18" t="n">
        <v>0.04166666666666666</v>
      </c>
      <c r="K117" s="19">
        <f>IF(J117&gt;=I117,"+","-")&amp;TEXT(ABS(J117-I117),"[h]""h"" mm""m""")</f>
        <v/>
      </c>
    </row>
    <row r="118">
      <c r="A118" s="16" t="inlineStr">
        <is>
          <t>Wk6  07 Sep–13 Sep</t>
        </is>
      </c>
      <c r="B118" s="16" t="inlineStr">
        <is>
          <t>Muhammad Yahya</t>
        </is>
      </c>
      <c r="C118" s="16" t="inlineStr">
        <is>
          <t>Learning</t>
        </is>
      </c>
      <c r="D118" s="17" t="inlineStr">
        <is>
          <t>Elementor</t>
        </is>
      </c>
      <c r="E118" s="17" t="inlineStr">
        <is>
          <t>Training time: learning the Elementor page builder.</t>
        </is>
      </c>
      <c r="F118" s="16" t="inlineStr">
        <is>
          <t>in_progress</t>
        </is>
      </c>
      <c r="G118" s="18" t="n">
        <v>0.4173611111111111</v>
      </c>
      <c r="H118" s="18" t="n">
        <v>0</v>
      </c>
      <c r="I118" s="18">
        <f>G118+H118</f>
        <v/>
      </c>
      <c r="J118" s="18" t="n">
        <v>0.14375</v>
      </c>
      <c r="K118" s="19">
        <f>IF(J118&gt;=I118,"+","-")&amp;TEXT(ABS(J118-I118),"[h]""h"" mm""m""")</f>
        <v/>
      </c>
    </row>
    <row r="119">
      <c r="A119" s="16" t="inlineStr">
        <is>
          <t>Wk6  07 Sep–13 Sep</t>
        </is>
      </c>
      <c r="B119" s="16" t="inlineStr">
        <is>
          <t>Muhammad Yahya</t>
        </is>
      </c>
      <c r="C119" s="16" t="inlineStr">
        <is>
          <t>Cricket Sansar</t>
        </is>
      </c>
      <c r="D119" s="17" t="inlineStr">
        <is>
          <t>Mobile App Testing</t>
        </is>
      </c>
      <c r="E119" s="17" t="inlineStr">
        <is>
          <t>Testing the mobile app.</t>
        </is>
      </c>
      <c r="F119" s="16" t="inlineStr">
        <is>
          <t>approved</t>
        </is>
      </c>
      <c r="G119" s="18" t="n">
        <v>0.1506944444444444</v>
      </c>
      <c r="H119" s="18" t="n">
        <v>0.04166666666666666</v>
      </c>
      <c r="I119" s="18">
        <f>G119+H119</f>
        <v/>
      </c>
      <c r="J119" s="18" t="n">
        <v>0.1923611111111111</v>
      </c>
      <c r="K119" s="19">
        <f>IF(J119&gt;=I119,"+","-")&amp;TEXT(ABS(J119-I119),"[h]""h"" mm""m""")</f>
        <v/>
      </c>
    </row>
    <row r="120">
      <c r="A120" s="16" t="inlineStr">
        <is>
          <t>Wk6  07 Sep–13 Sep</t>
        </is>
      </c>
      <c r="B120" s="16" t="inlineStr">
        <is>
          <t>Muhammad Yahya</t>
        </is>
      </c>
      <c r="C120" s="16" t="inlineStr">
        <is>
          <t>Cricket Sansar</t>
        </is>
      </c>
      <c r="D120" s="17" t="inlineStr">
        <is>
          <t>New Fixes &amp; Improvements</t>
        </is>
      </c>
      <c r="E120" s="17" t="inlineStr">
        <is>
          <t>A batch of bug fixes and small improvements, listed as subtasks.</t>
        </is>
      </c>
      <c r="F120" s="16" t="inlineStr">
        <is>
          <t>approved</t>
        </is>
      </c>
      <c r="G120" s="18" t="n">
        <v>0.4854166666666667</v>
      </c>
      <c r="H120" s="18" t="n">
        <v>0</v>
      </c>
      <c r="I120" s="18">
        <f>G120+H120</f>
        <v/>
      </c>
      <c r="J120" s="18" t="n">
        <v>0.5590277777777778</v>
      </c>
      <c r="K120" s="19">
        <f>IF(J120&gt;=I120,"+","-")&amp;TEXT(ABS(J120-I120),"[h]""h"" mm""m""")</f>
        <v/>
      </c>
    </row>
    <row r="121">
      <c r="A121" s="16" t="inlineStr">
        <is>
          <t>Wk6  07 Sep–13 Sep</t>
        </is>
      </c>
      <c r="B121" s="16" t="inlineStr">
        <is>
          <t>Muhammad Yahya</t>
        </is>
      </c>
      <c r="C121" s="16" t="inlineStr">
        <is>
          <t>Capital Car Finance (CCF)</t>
        </is>
      </c>
      <c r="D121" s="17" t="inlineStr">
        <is>
          <t>Warranty Product Page for Web and Mobile</t>
        </is>
      </c>
      <c r="E121" s="17" t="inlineStr">
        <is>
          <t>Building the warranty product page from the Figma design.</t>
        </is>
      </c>
      <c r="F121" s="16" t="inlineStr">
        <is>
          <t>approved</t>
        </is>
      </c>
      <c r="G121" s="18" t="n">
        <v>0.3409722222222222</v>
      </c>
      <c r="H121" s="18" t="n">
        <v>0</v>
      </c>
      <c r="I121" s="18">
        <f>G121+H121</f>
        <v/>
      </c>
      <c r="J121" s="18" t="n">
        <v>0.3923611111111111</v>
      </c>
      <c r="K121" s="19">
        <f>IF(J121&gt;=I121,"+","-")&amp;TEXT(ABS(J121-I121),"[h]""h"" mm""m""")</f>
        <v/>
      </c>
    </row>
    <row r="122">
      <c r="A122" s="16" t="inlineStr">
        <is>
          <t>Wk6  07 Sep–13 Sep</t>
        </is>
      </c>
      <c r="B122" s="16" t="inlineStr">
        <is>
          <t>Sajawal Khan</t>
        </is>
      </c>
      <c r="C122" s="16" t="inlineStr">
        <is>
          <t>Learning</t>
        </is>
      </c>
      <c r="D122" s="17" t="inlineStr">
        <is>
          <t>Calude Code Course</t>
        </is>
      </c>
      <c r="E122" s="17" t="inlineStr">
        <is>
          <t>Training: completing a Claude Code course and writing up the findings.</t>
        </is>
      </c>
      <c r="F122" s="16" t="inlineStr">
        <is>
          <t>approved</t>
        </is>
      </c>
      <c r="G122" s="18" t="n">
        <v>0.4590277777777778</v>
      </c>
      <c r="H122" s="18" t="n">
        <v>0.1597222222222222</v>
      </c>
      <c r="I122" s="18">
        <f>G122+H122</f>
        <v/>
      </c>
      <c r="J122" s="18" t="n">
        <v>0.6666666666666666</v>
      </c>
      <c r="K122" s="19">
        <f>IF(J122&gt;=I122,"+","-")&amp;TEXT(ABS(J122-I122),"[h]""h"" mm""m""")</f>
        <v/>
      </c>
    </row>
    <row r="123">
      <c r="A123" s="16" t="inlineStr">
        <is>
          <t>Wk6  07 Sep–13 Sep</t>
        </is>
      </c>
      <c r="B123" s="16" t="inlineStr">
        <is>
          <t>Sajawal Khan</t>
        </is>
      </c>
      <c r="C123" s="16" t="inlineStr">
        <is>
          <t>Builders Trade Depot</t>
        </is>
      </c>
      <c r="D123" s="17" t="inlineStr">
        <is>
          <t>New Product Upload (Nuie &amp; BTL)</t>
        </is>
      </c>
      <c r="E123" s="17" t="inlineStr">
        <is>
          <t>Bulk-uploading products from a CSV for two brands.</t>
        </is>
      </c>
      <c r="F123" s="16" t="inlineStr">
        <is>
          <t>in_progress</t>
        </is>
      </c>
      <c r="G123" s="18" t="n">
        <v>0.7638888888888888</v>
      </c>
      <c r="H123" s="18" t="n">
        <v>0.1736111111111111</v>
      </c>
      <c r="I123" s="18">
        <f>G123+H123</f>
        <v/>
      </c>
      <c r="J123" s="18" t="n">
        <v>1</v>
      </c>
      <c r="K123" s="19">
        <f>IF(J123&gt;=I123,"+","-")&amp;TEXT(ABS(J123-I123),"[h]""h"" mm""m""")</f>
        <v/>
      </c>
    </row>
    <row r="124">
      <c r="A124" s="16" t="inlineStr">
        <is>
          <t>Wk6  07 Sep–13 Sep</t>
        </is>
      </c>
      <c r="B124" s="16" t="inlineStr">
        <is>
          <t>Zain Malik</t>
        </is>
      </c>
      <c r="C124" s="16" t="inlineStr">
        <is>
          <t>Cricket Sansar</t>
        </is>
      </c>
      <c r="D124" s="17" t="inlineStr">
        <is>
          <t>General Fixes</t>
        </is>
      </c>
      <c r="E124" s="17" t="inlineStr">
        <is>
          <t>Reviewing the product and fixing whatever is broken.</t>
        </is>
      </c>
      <c r="F124" s="16" t="inlineStr">
        <is>
          <t>todo</t>
        </is>
      </c>
      <c r="G124" s="18" t="n">
        <v>0.3076388888888889</v>
      </c>
      <c r="H124" s="18" t="n">
        <v>0.03472222222222222</v>
      </c>
      <c r="I124" s="18">
        <f>G124+H124</f>
        <v/>
      </c>
      <c r="J124" s="18" t="n">
        <v>0.3333333333333333</v>
      </c>
      <c r="K124" s="19">
        <f>IF(J124&gt;=I124,"+","-")&amp;TEXT(ABS(J124-I124),"[h]""h"" mm""m""")</f>
        <v/>
      </c>
    </row>
    <row r="125">
      <c r="A125" s="16" t="inlineStr">
        <is>
          <t>Wk6  07 Sep–13 Sep</t>
        </is>
      </c>
      <c r="B125" s="16" t="inlineStr">
        <is>
          <t>Zain Malik</t>
        </is>
      </c>
      <c r="C125" s="16" t="inlineStr">
        <is>
          <t>Cricket Sansar</t>
        </is>
      </c>
      <c r="D125" s="17" t="inlineStr">
        <is>
          <t>Mobile App Testing</t>
        </is>
      </c>
      <c r="E125" s="17" t="inlineStr">
        <is>
          <t>Testing the mobile app.</t>
        </is>
      </c>
      <c r="F125" s="16" t="inlineStr">
        <is>
          <t>approved</t>
        </is>
      </c>
      <c r="G125" s="18" t="n">
        <v>0.1555555555555556</v>
      </c>
      <c r="H125" s="18" t="n">
        <v>0</v>
      </c>
      <c r="I125" s="18">
        <f>G125+H125</f>
        <v/>
      </c>
      <c r="J125" s="18" t="n">
        <v>0</v>
      </c>
      <c r="K125" s="19">
        <f>IF(J125&gt;=I125,"+","-")&amp;TEXT(ABS(J125-I125),"[h]""h"" mm""m""")</f>
        <v/>
      </c>
    </row>
    <row r="126">
      <c r="A126" s="16" t="inlineStr">
        <is>
          <t>Wk6  07 Sep–13 Sep</t>
        </is>
      </c>
      <c r="B126" s="16" t="inlineStr">
        <is>
          <t>Zain Malik</t>
        </is>
      </c>
      <c r="C126" s="16" t="inlineStr">
        <is>
          <t>Cricket Sansar</t>
        </is>
      </c>
      <c r="D126" s="17" t="inlineStr">
        <is>
          <t>New Fixes &amp; Improvements</t>
        </is>
      </c>
      <c r="E126" s="17" t="inlineStr">
        <is>
          <t>A batch of bug fixes and small improvements, listed as subtasks.</t>
        </is>
      </c>
      <c r="F126" s="16" t="inlineStr">
        <is>
          <t>approved</t>
        </is>
      </c>
      <c r="G126" s="18" t="n">
        <v>0.7486111111111111</v>
      </c>
      <c r="H126" s="18" t="n">
        <v>0.04166666666666666</v>
      </c>
      <c r="I126" s="18">
        <f>G126+H126</f>
        <v/>
      </c>
      <c r="J126" s="18" t="n">
        <v>1</v>
      </c>
      <c r="K126" s="19">
        <f>IF(J126&gt;=I126,"+","-")&amp;TEXT(ABS(J126-I126),"[h]""h"" mm""m""")</f>
        <v/>
      </c>
    </row>
    <row r="127">
      <c r="A127" s="16" t="inlineStr">
        <is>
          <t>Wk6  07 Sep–13 Sep</t>
        </is>
      </c>
      <c r="B127" s="16" t="inlineStr">
        <is>
          <t>Zain Malik</t>
        </is>
      </c>
      <c r="C127" s="16" t="inlineStr">
        <is>
          <t>Shifa</t>
        </is>
      </c>
      <c r="D127" s="17" t="inlineStr">
        <is>
          <t>Web App Deployement</t>
        </is>
      </c>
      <c r="E127" s="17" t="inlineStr">
        <is>
          <t>Deploying the Shifa web app.</t>
        </is>
      </c>
      <c r="F127" s="16" t="inlineStr">
        <is>
          <t>todo</t>
        </is>
      </c>
      <c r="G127" s="18" t="n">
        <v>0</v>
      </c>
      <c r="H127" s="18" t="n">
        <v>0.3333333333333333</v>
      </c>
      <c r="I127" s="18">
        <f>G127+H127</f>
        <v/>
      </c>
      <c r="J127" s="18" t="n">
        <v>0.3333333333333333</v>
      </c>
      <c r="K127" s="19">
        <f>IF(J127&gt;=I127,"+","-")&amp;TEXT(ABS(J127-I127),"[h]""h"" mm""m""")</f>
        <v/>
      </c>
    </row>
    <row r="128">
      <c r="A128" s="16" t="inlineStr">
        <is>
          <t>Wk6  07 Sep–13 Sep</t>
        </is>
      </c>
      <c r="B128" s="16" t="inlineStr">
        <is>
          <t>khizer hayat</t>
        </is>
      </c>
      <c r="C128" s="16" t="inlineStr">
        <is>
          <t>Starr Luxury Cars</t>
        </is>
      </c>
      <c r="D128" s="17" t="inlineStr">
        <is>
          <t>Make new fixes</t>
        </is>
      </c>
      <c r="E128" s="17" t="inlineStr">
        <is>
          <t>Fixing the enquiry email and a 404 when selecting a car.</t>
        </is>
      </c>
      <c r="F128" s="16" t="inlineStr">
        <is>
          <t>completed</t>
        </is>
      </c>
      <c r="G128" s="18" t="n">
        <v>0.03055555555555555</v>
      </c>
      <c r="H128" s="18" t="n">
        <v>0</v>
      </c>
      <c r="I128" s="18">
        <f>G128+H128</f>
        <v/>
      </c>
      <c r="J128" s="18" t="n">
        <v>0</v>
      </c>
      <c r="K128" s="19">
        <f>IF(J128&gt;=I128,"+","-")&amp;TEXT(ABS(J128-I128),"[h]""h"" mm""m""")</f>
        <v/>
      </c>
    </row>
    <row r="129">
      <c r="A129" s="16" t="inlineStr">
        <is>
          <t>Wk6  07 Sep–13 Sep</t>
        </is>
      </c>
      <c r="B129" s="16" t="inlineStr">
        <is>
          <t>khizer hayat</t>
        </is>
      </c>
      <c r="C129" s="16" t="inlineStr">
        <is>
          <t>Neowall</t>
        </is>
      </c>
      <c r="D129" s="17" t="inlineStr">
        <is>
          <t>Please Make the following amendments to the website</t>
        </is>
      </c>
      <c r="E129" s="17" t="inlineStr">
        <is>
          <t>A client list of wording and label changes, incl. stock messaging.</t>
        </is>
      </c>
      <c r="F129" s="16" t="inlineStr">
        <is>
          <t>in_progress</t>
        </is>
      </c>
      <c r="G129" s="18" t="n">
        <v>0.3208333333333334</v>
      </c>
      <c r="H129" s="18" t="n">
        <v>0</v>
      </c>
      <c r="I129" s="18">
        <f>G129+H129</f>
        <v/>
      </c>
      <c r="J129" s="18" t="n">
        <v>0</v>
      </c>
      <c r="K129" s="19">
        <f>IF(J129&gt;=I129,"+","-")&amp;TEXT(ABS(J129-I129),"[h]""h"" mm""m""")</f>
        <v/>
      </c>
    </row>
    <row r="130">
      <c r="A130" s="16" t="inlineStr">
        <is>
          <t>Wk6  07 Sep–13 Sep</t>
        </is>
      </c>
      <c r="B130" s="16" t="inlineStr">
        <is>
          <t>khizer hayat</t>
        </is>
      </c>
      <c r="C130" s="16" t="inlineStr">
        <is>
          <t>Capital Car Finance (CCF)</t>
        </is>
      </c>
      <c r="D130" s="17" t="inlineStr">
        <is>
          <t>Warranty Product Page for Web and Mobile</t>
        </is>
      </c>
      <c r="E130" s="17" t="inlineStr">
        <is>
          <t>Building the warranty product page from the Figma design.</t>
        </is>
      </c>
      <c r="F130" s="16" t="inlineStr">
        <is>
          <t>approved</t>
        </is>
      </c>
      <c r="G130" s="18" t="n">
        <v>0.4215277777777778</v>
      </c>
      <c r="H130" s="18" t="n">
        <v>0</v>
      </c>
      <c r="I130" s="18">
        <f>G130+H130</f>
        <v/>
      </c>
      <c r="J130" s="18" t="n">
        <v>0</v>
      </c>
      <c r="K130" s="19">
        <f>IF(J130&gt;=I130,"+","-")&amp;TEXT(ABS(J130-I130),"[h]""h"" mm""m""")</f>
        <v/>
      </c>
    </row>
    <row r="131">
      <c r="A131" s="16" t="inlineStr">
        <is>
          <t>Wk7  14 Sep–20 Sep</t>
        </is>
      </c>
      <c r="B131" s="16" t="inlineStr">
        <is>
          <t>Abbas Khan</t>
        </is>
      </c>
      <c r="C131" s="16" t="inlineStr">
        <is>
          <t>Titan Forge</t>
        </is>
      </c>
      <c r="D131" s="17" t="inlineStr">
        <is>
          <t>Develop the new website design</t>
        </is>
      </c>
      <c r="E131" s="17" t="inlineStr">
        <is>
          <t>Turning the approved new design into a working site.</t>
        </is>
      </c>
      <c r="F131" s="16" t="inlineStr">
        <is>
          <t>in_progress</t>
        </is>
      </c>
      <c r="G131" s="18" t="n">
        <v>0.5694444444444444</v>
      </c>
      <c r="H131" s="18" t="n">
        <v>0</v>
      </c>
      <c r="I131" s="18">
        <f>G131+H131</f>
        <v/>
      </c>
      <c r="J131" s="18" t="n">
        <v>0.4895833333333333</v>
      </c>
      <c r="K131" s="19">
        <f>IF(J131&gt;=I131,"+","-")&amp;TEXT(ABS(J131-I131),"[h]""h"" mm""m""")</f>
        <v/>
      </c>
    </row>
    <row r="132">
      <c r="A132" s="16" t="inlineStr">
        <is>
          <t>Wk7  14 Sep–20 Sep</t>
        </is>
      </c>
      <c r="B132" s="16" t="inlineStr">
        <is>
          <t>Abbas Khan</t>
        </is>
      </c>
      <c r="C132" s="16" t="inlineStr">
        <is>
          <t>Learning</t>
        </is>
      </c>
      <c r="D132" s="17" t="inlineStr">
        <is>
          <t>Learn Webflow</t>
        </is>
      </c>
      <c r="E132" s="17" t="inlineStr">
        <is>
          <t>Training time: learning Webflow because our own site will be built on it.</t>
        </is>
      </c>
      <c r="F132" s="16" t="inlineStr">
        <is>
          <t>in_progress</t>
        </is>
      </c>
      <c r="G132" s="18" t="n">
        <v>0.05138888888888889</v>
      </c>
      <c r="H132" s="18" t="n">
        <v>0</v>
      </c>
      <c r="I132" s="18">
        <f>G132+H132</f>
        <v/>
      </c>
      <c r="J132" s="18" t="n">
        <v>0.05138888888888889</v>
      </c>
      <c r="K132" s="19">
        <f>IF(J132&gt;=I132,"+","-")&amp;TEXT(ABS(J132-I132),"[h]""h"" mm""m""")</f>
        <v/>
      </c>
    </row>
    <row r="133">
      <c r="A133" s="16" t="inlineStr">
        <is>
          <t>Wk7  14 Sep–20 Sep</t>
        </is>
      </c>
      <c r="B133" s="16" t="inlineStr">
        <is>
          <t>Abbas Khan</t>
        </is>
      </c>
      <c r="C133" s="16" t="inlineStr">
        <is>
          <t>Rise of Burges</t>
        </is>
      </c>
      <c r="D133" s="17" t="inlineStr">
        <is>
          <t>New Pop up</t>
        </is>
      </c>
      <c r="E133" s="17" t="inlineStr">
        <is>
          <t>A buy-ticket popup covering the different locations.</t>
        </is>
      </c>
      <c r="F133" s="16" t="inlineStr">
        <is>
          <t>approved</t>
        </is>
      </c>
      <c r="G133" s="18" t="n">
        <v>0.1145833333333333</v>
      </c>
      <c r="H133" s="18" t="n">
        <v>0</v>
      </c>
      <c r="I133" s="18">
        <f>G133+H133</f>
        <v/>
      </c>
      <c r="J133" s="18" t="n">
        <v>0.15625</v>
      </c>
      <c r="K133" s="19">
        <f>IF(J133&gt;=I133,"+","-")&amp;TEXT(ABS(J133-I133),"[h]""h"" mm""m""")</f>
        <v/>
      </c>
    </row>
    <row r="134">
      <c r="A134" s="16" t="inlineStr">
        <is>
          <t>Wk7  14 Sep–20 Sep</t>
        </is>
      </c>
      <c r="B134" s="16" t="inlineStr">
        <is>
          <t>Abbas Khan</t>
        </is>
      </c>
      <c r="C134" s="16" t="inlineStr">
        <is>
          <t>Oasis Fertility</t>
        </is>
      </c>
      <c r="D134" s="17" t="inlineStr">
        <is>
          <t>Website Fixes</t>
        </is>
      </c>
      <c r="E134" s="17" t="inlineStr">
        <is>
          <t>Fixing website issues listed in a shared Google Doc.</t>
        </is>
      </c>
      <c r="F134" s="16" t="inlineStr">
        <is>
          <t>review</t>
        </is>
      </c>
      <c r="G134" s="18" t="n">
        <v>0.01736111111111111</v>
      </c>
      <c r="H134" s="18" t="n">
        <v>0</v>
      </c>
      <c r="I134" s="18">
        <f>G134+H134</f>
        <v/>
      </c>
      <c r="J134" s="18" t="n">
        <v>0.02083333333333333</v>
      </c>
      <c r="K134" s="19">
        <f>IF(J134&gt;=I134,"+","-")&amp;TEXT(ABS(J134-I134),"[h]""h"" mm""m""")</f>
        <v/>
      </c>
    </row>
    <row r="135">
      <c r="A135" s="16" t="inlineStr">
        <is>
          <t>Wk7  14 Sep–20 Sep</t>
        </is>
      </c>
      <c r="B135" s="16" t="inlineStr">
        <is>
          <t>Muhammad Yahya</t>
        </is>
      </c>
      <c r="C135" s="16" t="inlineStr">
        <is>
          <t>Titan Forge</t>
        </is>
      </c>
      <c r="D135" s="17" t="inlineStr">
        <is>
          <t>Can we update the prices for the below products</t>
        </is>
      </c>
      <c r="E135" s="17" t="inlineStr">
        <is>
          <t>Updating prices for a list of product variants.</t>
        </is>
      </c>
      <c r="F135" s="16" t="inlineStr">
        <is>
          <t>approved</t>
        </is>
      </c>
      <c r="G135" s="18" t="n">
        <v>0.03611111111111111</v>
      </c>
      <c r="H135" s="18" t="n">
        <v>0</v>
      </c>
      <c r="I135" s="18">
        <f>G135+H135</f>
        <v/>
      </c>
      <c r="J135" s="18" t="n">
        <v>0.04166666666666666</v>
      </c>
      <c r="K135" s="19">
        <f>IF(J135&gt;=I135,"+","-")&amp;TEXT(ABS(J135-I135),"[h]""h"" mm""m""")</f>
        <v/>
      </c>
    </row>
    <row r="136">
      <c r="A136" s="16" t="inlineStr">
        <is>
          <t>Wk7  14 Sep–20 Sep</t>
        </is>
      </c>
      <c r="B136" s="16" t="inlineStr">
        <is>
          <t>Muhammad Yahya</t>
        </is>
      </c>
      <c r="C136" s="16" t="inlineStr">
        <is>
          <t>Learning</t>
        </is>
      </c>
      <c r="D136" s="17" t="inlineStr">
        <is>
          <t>Elementor</t>
        </is>
      </c>
      <c r="E136" s="17" t="inlineStr">
        <is>
          <t>Training time: learning the Elementor page builder.</t>
        </is>
      </c>
      <c r="F136" s="16" t="inlineStr">
        <is>
          <t>in_progress</t>
        </is>
      </c>
      <c r="G136" s="18" t="n">
        <v>0</v>
      </c>
      <c r="H136" s="18" t="n">
        <v>0</v>
      </c>
      <c r="I136" s="18">
        <f>G136+H136</f>
        <v/>
      </c>
      <c r="J136" s="18" t="n">
        <v>0.0375</v>
      </c>
      <c r="K136" s="19">
        <f>IF(J136&gt;=I136,"+","-")&amp;TEXT(ABS(J136-I136),"[h]""h"" mm""m""")</f>
        <v/>
      </c>
    </row>
    <row r="137">
      <c r="A137" s="16" t="inlineStr">
        <is>
          <t>Wk7  14 Sep–20 Sep</t>
        </is>
      </c>
      <c r="B137" s="16" t="inlineStr">
        <is>
          <t>Muhammad Yahya</t>
        </is>
      </c>
      <c r="C137" s="16" t="inlineStr">
        <is>
          <t>Starr Luxury Cars</t>
        </is>
      </c>
      <c r="D137" s="17" t="inlineStr">
        <is>
          <t>Fix Enquire button</t>
        </is>
      </c>
      <c r="E137" s="17" t="inlineStr">
        <is>
          <t>Linking the Enquire button to the contact form.</t>
        </is>
      </c>
      <c r="F137" s="16" t="inlineStr">
        <is>
          <t>approved</t>
        </is>
      </c>
      <c r="G137" s="18" t="n">
        <v>0.02013888888888889</v>
      </c>
      <c r="H137" s="18" t="n">
        <v>0</v>
      </c>
      <c r="I137" s="18">
        <f>G137+H137</f>
        <v/>
      </c>
      <c r="J137" s="18" t="n">
        <v>0.02013888888888889</v>
      </c>
      <c r="K137" s="19">
        <f>IF(J137&gt;=I137,"+","-")&amp;TEXT(ABS(J137-I137),"[h]""h"" mm""m""")</f>
        <v/>
      </c>
    </row>
    <row r="138">
      <c r="A138" s="16" t="inlineStr">
        <is>
          <t>Wk7  14 Sep–20 Sep</t>
        </is>
      </c>
      <c r="B138" s="16" t="inlineStr">
        <is>
          <t>Muhammad Yahya</t>
        </is>
      </c>
      <c r="C138" s="16" t="inlineStr">
        <is>
          <t>Cricket Sansar</t>
        </is>
      </c>
      <c r="D138" s="17" t="inlineStr">
        <is>
          <t>New Fixes &amp; Improvements</t>
        </is>
      </c>
      <c r="E138" s="17" t="inlineStr">
        <is>
          <t>A batch of bug fixes and small improvements, listed as subtasks.</t>
        </is>
      </c>
      <c r="F138" s="16" t="inlineStr">
        <is>
          <t>approved</t>
        </is>
      </c>
      <c r="G138" s="18" t="n">
        <v>0.3472222222222222</v>
      </c>
      <c r="H138" s="18" t="n">
        <v>0</v>
      </c>
      <c r="I138" s="18">
        <f>G138+H138</f>
        <v/>
      </c>
      <c r="J138" s="18" t="n">
        <v>0.3472222222222222</v>
      </c>
      <c r="K138" s="19">
        <f>IF(J138&gt;=I138,"+","-")&amp;TEXT(ABS(J138-I138),"[h]""h"" mm""m""")</f>
        <v/>
      </c>
    </row>
    <row r="139">
      <c r="A139" s="16" t="inlineStr">
        <is>
          <t>Wk7  14 Sep–20 Sep</t>
        </is>
      </c>
      <c r="B139" s="16" t="inlineStr">
        <is>
          <t>Muhammad Yahya</t>
        </is>
      </c>
      <c r="C139" s="16" t="inlineStr">
        <is>
          <t>Roia</t>
        </is>
      </c>
      <c r="D139" s="17" t="inlineStr">
        <is>
          <t>Website Fixes</t>
        </is>
      </c>
      <c r="E139" s="17" t="inlineStr">
        <is>
          <t>Fixing website issues listed in a shared Google Doc.</t>
        </is>
      </c>
      <c r="F139" s="16" t="inlineStr">
        <is>
          <t>in_progress</t>
        </is>
      </c>
      <c r="G139" s="18" t="n">
        <v>0.5013888888888889</v>
      </c>
      <c r="H139" s="18" t="n">
        <v>0</v>
      </c>
      <c r="I139" s="18">
        <f>G139+H139</f>
        <v/>
      </c>
      <c r="J139" s="18" t="n">
        <v>0.4819444444444445</v>
      </c>
      <c r="K139" s="19">
        <f>IF(J139&gt;=I139,"+","-")&amp;TEXT(ABS(J139-I139),"[h]""h"" mm""m""")</f>
        <v/>
      </c>
    </row>
    <row r="140">
      <c r="A140" s="16" t="inlineStr">
        <is>
          <t>Wk7  14 Sep–20 Sep</t>
        </is>
      </c>
      <c r="B140" s="16" t="inlineStr">
        <is>
          <t>Sajawal Khan</t>
        </is>
      </c>
      <c r="C140" s="16" t="inlineStr">
        <is>
          <t>Learning</t>
        </is>
      </c>
      <c r="D140" s="17" t="inlineStr">
        <is>
          <t>Calude Code Course</t>
        </is>
      </c>
      <c r="E140" s="17" t="inlineStr">
        <is>
          <t>Training: completing a Claude Code course and writing up the findings.</t>
        </is>
      </c>
      <c r="F140" s="16" t="inlineStr">
        <is>
          <t>approved</t>
        </is>
      </c>
      <c r="G140" s="18" t="n">
        <v>0.04513888888888889</v>
      </c>
      <c r="H140" s="18" t="n">
        <v>0</v>
      </c>
      <c r="I140" s="18">
        <f>G140+H140</f>
        <v/>
      </c>
      <c r="J140" s="18" t="n">
        <v>0</v>
      </c>
      <c r="K140" s="19">
        <f>IF(J140&gt;=I140,"+","-")&amp;TEXT(ABS(J140-I140),"[h]""h"" mm""m""")</f>
        <v/>
      </c>
    </row>
    <row r="141">
      <c r="A141" s="16" t="inlineStr">
        <is>
          <t>Wk7  14 Sep–20 Sep</t>
        </is>
      </c>
      <c r="B141" s="16" t="inlineStr">
        <is>
          <t>Sajawal Khan</t>
        </is>
      </c>
      <c r="C141" s="16" t="inlineStr">
        <is>
          <t>Titan Forge</t>
        </is>
      </c>
      <c r="D141" s="17" t="inlineStr">
        <is>
          <t>Can we update the prices for the below products</t>
        </is>
      </c>
      <c r="E141" s="17" t="inlineStr">
        <is>
          <t>Updating prices for a list of product variants.</t>
        </is>
      </c>
      <c r="F141" s="16" t="inlineStr">
        <is>
          <t>approved</t>
        </is>
      </c>
      <c r="G141" s="18" t="n">
        <v>0</v>
      </c>
      <c r="H141" s="18" t="n">
        <v>0.02083333333333333</v>
      </c>
      <c r="I141" s="18">
        <f>G141+H141</f>
        <v/>
      </c>
      <c r="J141" s="18" t="n">
        <v>0</v>
      </c>
      <c r="K141" s="19">
        <f>IF(J141&gt;=I141,"+","-")&amp;TEXT(ABS(J141-I141),"[h]""h"" mm""m""")</f>
        <v/>
      </c>
    </row>
    <row r="142">
      <c r="A142" s="16" t="inlineStr">
        <is>
          <t>Wk7  14 Sep–20 Sep</t>
        </is>
      </c>
      <c r="B142" s="16" t="inlineStr">
        <is>
          <t>Sajawal Khan</t>
        </is>
      </c>
      <c r="C142" s="16" t="inlineStr">
        <is>
          <t>Linknbit</t>
        </is>
      </c>
      <c r="D142" s="17" t="inlineStr">
        <is>
          <t>Home Page Testing</t>
        </is>
      </c>
      <c r="E142" s="17" t="inlineStr">
        <is>
          <t>Testing the homepage and documenting the findings.</t>
        </is>
      </c>
      <c r="F142" s="16" t="inlineStr">
        <is>
          <t>todo</t>
        </is>
      </c>
      <c r="G142" s="18" t="n">
        <v>0</v>
      </c>
      <c r="H142" s="18" t="n">
        <v>0.04166666666666666</v>
      </c>
      <c r="I142" s="18">
        <f>G142+H142</f>
        <v/>
      </c>
      <c r="J142" s="18" t="n">
        <v>0</v>
      </c>
      <c r="K142" s="19">
        <f>IF(J142&gt;=I142,"+","-")&amp;TEXT(ABS(J142-I142),"[h]""h"" mm""m""")</f>
        <v/>
      </c>
    </row>
    <row r="143">
      <c r="A143" s="16" t="inlineStr">
        <is>
          <t>Wk7  14 Sep–20 Sep</t>
        </is>
      </c>
      <c r="B143" s="16" t="inlineStr">
        <is>
          <t>Sajawal Khan</t>
        </is>
      </c>
      <c r="C143" s="16" t="inlineStr">
        <is>
          <t>Builders Trade Depot</t>
        </is>
      </c>
      <c r="D143" s="17" t="inlineStr">
        <is>
          <t>New Product Upload (Nuie &amp; BTL)</t>
        </is>
      </c>
      <c r="E143" s="17" t="inlineStr">
        <is>
          <t>Bulk-uploading products from a CSV for two brands.</t>
        </is>
      </c>
      <c r="F143" s="16" t="inlineStr">
        <is>
          <t>in_progress</t>
        </is>
      </c>
      <c r="G143" s="18" t="n">
        <v>0.3611111111111111</v>
      </c>
      <c r="H143" s="18" t="n">
        <v>0</v>
      </c>
      <c r="I143" s="18">
        <f>G143+H143</f>
        <v/>
      </c>
      <c r="J143" s="18" t="n">
        <v>0.3333333333333333</v>
      </c>
      <c r="K143" s="19">
        <f>IF(J143&gt;=I143,"+","-")&amp;TEXT(ABS(J143-I143),"[h]""h"" mm""m""")</f>
        <v/>
      </c>
    </row>
    <row r="144">
      <c r="A144" s="16" t="inlineStr">
        <is>
          <t>Wk7  14 Sep–20 Sep</t>
        </is>
      </c>
      <c r="B144" s="16" t="inlineStr">
        <is>
          <t>Sajawal Khan</t>
        </is>
      </c>
      <c r="C144" s="16" t="inlineStr">
        <is>
          <t>Titan Forge</t>
        </is>
      </c>
      <c r="D144" s="17" t="inlineStr">
        <is>
          <t>Upload Content to the website</t>
        </is>
      </c>
      <c r="E144" s="17" t="inlineStr">
        <is>
          <t>Uploading copy for three product categories.</t>
        </is>
      </c>
      <c r="F144" s="16" t="inlineStr">
        <is>
          <t>review</t>
        </is>
      </c>
      <c r="G144" s="18" t="n">
        <v>0.03680555555555556</v>
      </c>
      <c r="H144" s="18" t="n">
        <v>0.01041666666666667</v>
      </c>
      <c r="I144" s="18">
        <f>G144+H144</f>
        <v/>
      </c>
      <c r="J144" s="18" t="n">
        <v>0</v>
      </c>
      <c r="K144" s="19">
        <f>IF(J144&gt;=I144,"+","-")&amp;TEXT(ABS(J144-I144),"[h]""h"" mm""m""")</f>
        <v/>
      </c>
    </row>
    <row r="145">
      <c r="A145" s="16" t="inlineStr">
        <is>
          <t>Wk7  14 Sep–20 Sep</t>
        </is>
      </c>
      <c r="B145" s="16" t="inlineStr">
        <is>
          <t>Sajawal Khan</t>
        </is>
      </c>
      <c r="C145" s="16" t="inlineStr">
        <is>
          <t>Capital Car Finance (CCF)</t>
        </is>
      </c>
      <c r="D145" s="17" t="inlineStr">
        <is>
          <t>Webite Fixes</t>
        </is>
      </c>
      <c r="E145" s="17" t="inlineStr">
        <is>
          <t>Fixing forms, image sizes and layout boxes on the warranty pages.</t>
        </is>
      </c>
      <c r="F145" s="16" t="inlineStr">
        <is>
          <t>review</t>
        </is>
      </c>
      <c r="G145" s="18" t="n">
        <v>0.07430555555555556</v>
      </c>
      <c r="H145" s="18" t="n">
        <v>0</v>
      </c>
      <c r="I145" s="18">
        <f>G145+H145</f>
        <v/>
      </c>
      <c r="J145" s="18" t="n">
        <v>0</v>
      </c>
      <c r="K145" s="19">
        <f>IF(J145&gt;=I145,"+","-")&amp;TEXT(ABS(J145-I145),"[h]""h"" mm""m""")</f>
        <v/>
      </c>
    </row>
    <row r="146">
      <c r="A146" s="16" t="inlineStr">
        <is>
          <t>Wk7  14 Sep–20 Sep</t>
        </is>
      </c>
      <c r="B146" s="16" t="inlineStr">
        <is>
          <t>Sajawal Khan</t>
        </is>
      </c>
      <c r="C146" s="16" t="inlineStr">
        <is>
          <t>Roia</t>
        </is>
      </c>
      <c r="D146" s="17" t="inlineStr">
        <is>
          <t>Website Testing</t>
        </is>
      </c>
      <c r="E146" s="17" t="inlineStr">
        <is>
          <t>Testing the site against the client's requirements.</t>
        </is>
      </c>
      <c r="F146" s="16" t="inlineStr">
        <is>
          <t>in_progress</t>
        </is>
      </c>
      <c r="G146" s="18" t="n">
        <v>0.1493055555555556</v>
      </c>
      <c r="H146" s="18" t="n">
        <v>0.04166666666666666</v>
      </c>
      <c r="I146" s="18">
        <f>G146+H146</f>
        <v/>
      </c>
      <c r="J146" s="18" t="n">
        <v>0</v>
      </c>
      <c r="K146" s="19">
        <f>IF(J146&gt;=I146,"+","-")&amp;TEXT(ABS(J146-I146),"[h]""h"" mm""m""")</f>
        <v/>
      </c>
    </row>
    <row r="147">
      <c r="A147" s="16" t="inlineStr">
        <is>
          <t>Wk7  14 Sep–20 Sep</t>
        </is>
      </c>
      <c r="B147" s="16" t="inlineStr">
        <is>
          <t>Zain Malik</t>
        </is>
      </c>
      <c r="C147" s="16" t="inlineStr">
        <is>
          <t>Shifa</t>
        </is>
      </c>
      <c r="D147" s="17" t="inlineStr">
        <is>
          <t>Complete the project</t>
        </is>
      </c>
      <c r="E147" s="17" t="inlineStr">
        <is>
          <t>Finishing off the remaining Shifa project work.</t>
        </is>
      </c>
      <c r="F147" s="16" t="inlineStr">
        <is>
          <t>todo</t>
        </is>
      </c>
      <c r="G147" s="18" t="n">
        <v>0.3347222222222222</v>
      </c>
      <c r="H147" s="18" t="n">
        <v>0</v>
      </c>
      <c r="I147" s="18">
        <f>G147+H147</f>
        <v/>
      </c>
      <c r="J147" s="18" t="n">
        <v>0.1666666666666667</v>
      </c>
      <c r="K147" s="19">
        <f>IF(J147&gt;=I147,"+","-")&amp;TEXT(ABS(J147-I147),"[h]""h"" mm""m""")</f>
        <v/>
      </c>
    </row>
    <row r="148">
      <c r="A148" s="16" t="inlineStr">
        <is>
          <t>Wk7  14 Sep–20 Sep</t>
        </is>
      </c>
      <c r="B148" s="16" t="inlineStr">
        <is>
          <t>Zain Malik</t>
        </is>
      </c>
      <c r="C148" s="16" t="inlineStr">
        <is>
          <t>Cricket Sansar</t>
        </is>
      </c>
      <c r="D148" s="17" t="inlineStr">
        <is>
          <t>General Fixes</t>
        </is>
      </c>
      <c r="E148" s="17" t="inlineStr">
        <is>
          <t>Reviewing the product and fixing whatever is broken.</t>
        </is>
      </c>
      <c r="F148" s="16" t="inlineStr">
        <is>
          <t>todo</t>
        </is>
      </c>
      <c r="G148" s="18" t="n">
        <v>0.1715277777777778</v>
      </c>
      <c r="H148" s="18" t="n">
        <v>0.04166666666666666</v>
      </c>
      <c r="I148" s="18">
        <f>G148+H148</f>
        <v/>
      </c>
      <c r="J148" s="18" t="n">
        <v>0</v>
      </c>
      <c r="K148" s="19">
        <f>IF(J148&gt;=I148,"+","-")&amp;TEXT(ABS(J148-I148),"[h]""h"" mm""m""")</f>
        <v/>
      </c>
    </row>
    <row r="149">
      <c r="A149" s="16" t="inlineStr">
        <is>
          <t>Wk7  14 Sep–20 Sep</t>
        </is>
      </c>
      <c r="B149" s="16" t="inlineStr">
        <is>
          <t>Zain Malik</t>
        </is>
      </c>
      <c r="C149" s="16" t="inlineStr">
        <is>
          <t>Cricket Sansar</t>
        </is>
      </c>
      <c r="D149" s="17" t="inlineStr">
        <is>
          <t>NPL section</t>
        </is>
      </c>
      <c r="E149" s="17" t="inlineStr">
        <is>
          <t>Building the NPL section of the app.</t>
        </is>
      </c>
      <c r="F149" s="16" t="inlineStr">
        <is>
          <t>in_progress</t>
        </is>
      </c>
      <c r="G149" s="18" t="n">
        <v>0.3756944444444444</v>
      </c>
      <c r="H149" s="18" t="n">
        <v>0</v>
      </c>
      <c r="I149" s="18">
        <f>G149+H149</f>
        <v/>
      </c>
      <c r="J149" s="18" t="n">
        <v>0.1666666666666667</v>
      </c>
      <c r="K149" s="19">
        <f>IF(J149&gt;=I149,"+","-")&amp;TEXT(ABS(J149-I149),"[h]""h"" mm""m""")</f>
        <v/>
      </c>
    </row>
    <row r="150">
      <c r="A150" s="16" t="inlineStr">
        <is>
          <t>Wk7  14 Sep–20 Sep</t>
        </is>
      </c>
      <c r="B150" s="16" t="inlineStr">
        <is>
          <t>Zain Malik</t>
        </is>
      </c>
      <c r="C150" s="16" t="inlineStr">
        <is>
          <t>Cricket Sansar</t>
        </is>
      </c>
      <c r="D150" s="17" t="inlineStr">
        <is>
          <t>New Fixes &amp; Improvements</t>
        </is>
      </c>
      <c r="E150" s="17" t="inlineStr">
        <is>
          <t>A batch of bug fixes and small improvements, listed as subtasks.</t>
        </is>
      </c>
      <c r="F150" s="16" t="inlineStr">
        <is>
          <t>approved</t>
        </is>
      </c>
      <c r="G150" s="18" t="n">
        <v>0.1048611111111111</v>
      </c>
      <c r="H150" s="18" t="n">
        <v>0</v>
      </c>
      <c r="I150" s="18">
        <f>G150+H150</f>
        <v/>
      </c>
      <c r="J150" s="18" t="n">
        <v>0.5</v>
      </c>
      <c r="K150" s="19">
        <f>IF(J150&gt;=I150,"+","-")&amp;TEXT(ABS(J150-I150),"[h]""h"" mm""m""")</f>
        <v/>
      </c>
    </row>
    <row r="151">
      <c r="A151" s="16" t="inlineStr">
        <is>
          <t>Wk7  14 Sep–20 Sep</t>
        </is>
      </c>
      <c r="B151" s="16" t="inlineStr">
        <is>
          <t>Zain Malik</t>
        </is>
      </c>
      <c r="C151" s="16" t="inlineStr">
        <is>
          <t>Linknbit Portal</t>
        </is>
      </c>
      <c r="D151" s="17" t="inlineStr">
        <is>
          <t>Portal Fixes</t>
        </is>
      </c>
      <c r="E151" s="17" t="inlineStr">
        <is>
          <t>Portal bug fixes: task document uploads and project creation issues.</t>
        </is>
      </c>
      <c r="F151" s="16" t="inlineStr">
        <is>
          <t>approved</t>
        </is>
      </c>
      <c r="G151" s="18" t="n">
        <v>0</v>
      </c>
      <c r="H151" s="18" t="n">
        <v>0.1215277777777778</v>
      </c>
      <c r="I151" s="18">
        <f>G151+H151</f>
        <v/>
      </c>
      <c r="J151" s="18" t="n">
        <v>0</v>
      </c>
      <c r="K151" s="19">
        <f>IF(J151&gt;=I151,"+","-")&amp;TEXT(ABS(J151-I151),"[h]""h"" mm""m""")</f>
        <v/>
      </c>
    </row>
    <row r="152">
      <c r="A152" s="16" t="inlineStr">
        <is>
          <t>Wk7  14 Sep–20 Sep</t>
        </is>
      </c>
      <c r="B152" s="16" t="inlineStr">
        <is>
          <t>Zain Malik</t>
        </is>
      </c>
      <c r="C152" s="16" t="inlineStr">
        <is>
          <t>Linknbit Portal</t>
        </is>
      </c>
      <c r="D152" s="17" t="inlineStr">
        <is>
          <t>chat message delete</t>
        </is>
      </c>
      <c r="E152" s="17" t="inlineStr">
        <is>
          <t>Portal feature: deleting chat messages.</t>
        </is>
      </c>
      <c r="F152" s="16" t="inlineStr">
        <is>
          <t>completed</t>
        </is>
      </c>
      <c r="G152" s="18" t="n">
        <v>0</v>
      </c>
      <c r="H152" s="18" t="n">
        <v>0</v>
      </c>
      <c r="I152" s="18">
        <f>G152+H152</f>
        <v/>
      </c>
      <c r="J152" s="18" t="n">
        <v>0.1666666666666667</v>
      </c>
      <c r="K152" s="19">
        <f>IF(J152&gt;=I152,"+","-")&amp;TEXT(ABS(J152-I152),"[h]""h"" mm""m""")</f>
        <v/>
      </c>
    </row>
    <row r="153">
      <c r="A153" s="16" t="inlineStr">
        <is>
          <t>Wk7  14 Sep–20 Sep</t>
        </is>
      </c>
      <c r="B153" s="16" t="inlineStr">
        <is>
          <t>khizer hayat</t>
        </is>
      </c>
      <c r="C153" s="16" t="inlineStr">
        <is>
          <t>Starr Luxury Cars</t>
        </is>
      </c>
      <c r="D153" s="17" t="inlineStr">
        <is>
          <t>Creation of Dodge ball rally page</t>
        </is>
      </c>
      <c r="E153" s="17" t="inlineStr">
        <is>
          <t>Building the Dodgeball Rally page.</t>
        </is>
      </c>
      <c r="F153" s="16" t="inlineStr">
        <is>
          <t>approved</t>
        </is>
      </c>
      <c r="G153" s="18" t="n">
        <v>0</v>
      </c>
      <c r="H153" s="18" t="n">
        <v>0</v>
      </c>
      <c r="I153" s="18">
        <f>G153+H153</f>
        <v/>
      </c>
      <c r="J153" s="18" t="n">
        <v>0.02083333333333333</v>
      </c>
      <c r="K153" s="19">
        <f>IF(J153&gt;=I153,"+","-")&amp;TEXT(ABS(J153-I153),"[h]""h"" mm""m""")</f>
        <v/>
      </c>
    </row>
    <row r="154">
      <c r="A154" s="16" t="inlineStr">
        <is>
          <t>Wk7  14 Sep–20 Sep</t>
        </is>
      </c>
      <c r="B154" s="16" t="inlineStr">
        <is>
          <t>khizer hayat</t>
        </is>
      </c>
      <c r="C154" s="16" t="inlineStr">
        <is>
          <t>Starr Luxury Cars</t>
        </is>
      </c>
      <c r="D154" s="17" t="inlineStr">
        <is>
          <t>Starr Luxury cars new section for images in dodgeball rally page</t>
        </is>
      </c>
      <c r="E154" s="17" t="inlineStr">
        <is>
          <t>Adding an image section to the Dodgeball Rally page.</t>
        </is>
      </c>
      <c r="F154" s="16" t="inlineStr">
        <is>
          <t>in_progress</t>
        </is>
      </c>
      <c r="G154" s="18" t="n">
        <v>0.1263888888888889</v>
      </c>
      <c r="H154" s="18" t="n">
        <v>0</v>
      </c>
      <c r="I154" s="18">
        <f>G154+H154</f>
        <v/>
      </c>
      <c r="J154" s="18" t="n">
        <v>0</v>
      </c>
      <c r="K154" s="19">
        <f>IF(J154&gt;=I154,"+","-")&amp;TEXT(ABS(J154-I154),"[h]""h"" mm""m""")</f>
        <v/>
      </c>
    </row>
    <row r="155">
      <c r="A155" s="16" t="inlineStr">
        <is>
          <t>Wk7  14 Sep–20 Sep</t>
        </is>
      </c>
      <c r="B155" s="16" t="inlineStr">
        <is>
          <t>khizer hayat</t>
        </is>
      </c>
      <c r="C155" s="16" t="inlineStr">
        <is>
          <t>Capital Car Finance (CCF)</t>
        </is>
      </c>
      <c r="D155" s="17" t="inlineStr">
        <is>
          <t>Webite Fixes</t>
        </is>
      </c>
      <c r="E155" s="17" t="inlineStr">
        <is>
          <t>Fixing forms, image sizes and layout boxes on the warranty pages.</t>
        </is>
      </c>
      <c r="F155" s="16" t="inlineStr">
        <is>
          <t>review</t>
        </is>
      </c>
      <c r="G155" s="18" t="n">
        <v>0.08680555555555555</v>
      </c>
      <c r="H155" s="18" t="n">
        <v>0</v>
      </c>
      <c r="I155" s="18">
        <f>G155+H155</f>
        <v/>
      </c>
      <c r="J155" s="18" t="n">
        <v>0.08333333333333333</v>
      </c>
      <c r="K155" s="19">
        <f>IF(J155&gt;=I155,"+","-")&amp;TEXT(ABS(J155-I155),"[h]""h"" mm""m""")</f>
        <v/>
      </c>
    </row>
    <row r="156">
      <c r="A156" s="16" t="inlineStr">
        <is>
          <t>Wk7  14 Sep–20 Sep</t>
        </is>
      </c>
      <c r="B156" s="16" t="inlineStr">
        <is>
          <t>khizer hayat</t>
        </is>
      </c>
      <c r="C156" s="16" t="inlineStr">
        <is>
          <t>Roia</t>
        </is>
      </c>
      <c r="D156" s="17" t="inlineStr">
        <is>
          <t>Website Fixes</t>
        </is>
      </c>
      <c r="E156" s="17" t="inlineStr">
        <is>
          <t>Fixing website issues listed in a shared Google Doc.</t>
        </is>
      </c>
      <c r="F156" s="16" t="inlineStr">
        <is>
          <t>in_progress</t>
        </is>
      </c>
      <c r="G156" s="18" t="n">
        <v>0.41875</v>
      </c>
      <c r="H156" s="18" t="n">
        <v>0</v>
      </c>
      <c r="I156" s="18">
        <f>G156+H156</f>
        <v/>
      </c>
      <c r="J156" s="18" t="n">
        <v>0.5625</v>
      </c>
      <c r="K156" s="19">
        <f>IF(J156&gt;=I156,"+","-")&amp;TEXT(ABS(J156-I156),"[h]""h"" mm""m""")</f>
        <v/>
      </c>
    </row>
    <row r="157">
      <c r="A157" s="20" t="n"/>
      <c r="B157" s="20" t="n"/>
      <c r="C157" s="20" t="n"/>
      <c r="D157" s="20" t="inlineStr">
        <is>
          <t>TOTAL</t>
        </is>
      </c>
      <c r="E157" s="20" t="n"/>
      <c r="F157" s="20" t="n"/>
      <c r="G157" s="21">
        <f>SUM(G4:G156)</f>
        <v/>
      </c>
      <c r="H157" s="21">
        <f>SUM(H4:H156)</f>
        <v/>
      </c>
      <c r="I157" s="21">
        <f>SUM(I4:I156)</f>
        <v/>
      </c>
      <c r="J157" s="21">
        <f>SUM(J4:J156)</f>
        <v/>
      </c>
      <c r="K157" s="22">
        <f>IF(J157&gt;=I157,"+","-")&amp;TEXT(ABS(J157-I157),"[h]""h"" mm""m""")</f>
        <v/>
      </c>
    </row>
  </sheetData>
  <autoFilter ref="A3:K1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4" customWidth="1" min="4" max="4"/>
    <col width="54" customWidth="1" min="5" max="5"/>
    <col width="12" customWidth="1" min="6" max="6"/>
    <col width="9" customWidth="1" min="7" max="7"/>
    <col width="9" customWidth="1" min="8" max="8"/>
    <col width="11" customWidth="1" min="9" max="9"/>
    <col width="10" customWidth="1" min="10" max="10"/>
    <col width="11" customWidth="1" min="11" max="11"/>
  </cols>
  <sheetData>
    <row r="1">
      <c r="A1" s="6" t="inlineStr">
        <is>
          <t>Design — task detail by week</t>
        </is>
      </c>
    </row>
    <row r="3" ht="30" customHeight="1">
      <c r="A3" s="7" t="inlineStr">
        <is>
          <t>Week</t>
        </is>
      </c>
      <c r="B3" s="7" t="inlineStr">
        <is>
          <t>Developer</t>
        </is>
      </c>
      <c r="C3" s="7" t="inlineStr">
        <is>
          <t>Project</t>
        </is>
      </c>
      <c r="D3" s="7" t="inlineStr">
        <is>
          <t>Task</t>
        </is>
      </c>
      <c r="E3" s="7" t="inlineStr">
        <is>
          <t>What it means (plain English)</t>
        </is>
      </c>
      <c r="F3" s="7" t="inlineStr">
        <is>
          <t>Status</t>
        </is>
      </c>
      <c r="G3" s="7" t="inlineStr">
        <is>
          <t>Timer h</t>
        </is>
      </c>
      <c r="H3" s="7" t="inlineStr">
        <is>
          <t>Manual h</t>
        </is>
      </c>
      <c r="I3" s="7" t="inlineStr">
        <is>
          <t>Timer total</t>
        </is>
      </c>
      <c r="J3" s="7" t="inlineStr">
        <is>
          <t>Standup h</t>
        </is>
      </c>
      <c r="K3" s="7" t="inlineStr">
        <is>
          <t>Difference</t>
        </is>
      </c>
    </row>
    <row r="4">
      <c r="A4" s="16" t="inlineStr">
        <is>
          <t>Wk1  03 Aug–09 Aug</t>
        </is>
      </c>
      <c r="B4" s="16" t="inlineStr">
        <is>
          <t>Abbas Khan</t>
        </is>
      </c>
      <c r="C4" s="16" t="inlineStr">
        <is>
          <t>Zedan</t>
        </is>
      </c>
      <c r="D4" s="17" t="inlineStr">
        <is>
          <t>Images &amp; Website Content</t>
        </is>
      </c>
      <c r="E4" s="17" t="inlineStr">
        <is>
          <t>Preparing product/page imagery and updating site copy.</t>
        </is>
      </c>
      <c r="F4" s="16" t="inlineStr">
        <is>
          <t>completed</t>
        </is>
      </c>
      <c r="G4" s="18" t="n">
        <v>0.04305555555555556</v>
      </c>
      <c r="H4" s="18" t="n">
        <v>0</v>
      </c>
      <c r="I4" s="18">
        <f>G4+H4</f>
        <v/>
      </c>
      <c r="J4" s="18" t="n">
        <v>0</v>
      </c>
      <c r="K4" s="19">
        <f>IF(J4&gt;=I4,"+","-")&amp;TEXT(ABS(J4-I4),"[h]""h"" mm""m""")</f>
        <v/>
      </c>
    </row>
    <row r="5">
      <c r="A5" s="16" t="inlineStr">
        <is>
          <t>Wk1  03 Aug–09 Aug</t>
        </is>
      </c>
      <c r="B5" s="16" t="inlineStr">
        <is>
          <t>Atta Ul Mustafa Saad</t>
        </is>
      </c>
      <c r="C5" s="16" t="inlineStr">
        <is>
          <t>Linknbit</t>
        </is>
      </c>
      <c r="D5" s="17" t="inlineStr">
        <is>
          <t>Catalogues Design for Asfand Upwork Profile</t>
        </is>
      </c>
      <c r="E5" s="17" t="inlineStr">
        <is>
          <t>Designing catalogues for an Upwork profile.</t>
        </is>
      </c>
      <c r="F5" s="16" t="inlineStr">
        <is>
          <t>completed</t>
        </is>
      </c>
      <c r="G5" s="18" t="n">
        <v>0</v>
      </c>
      <c r="H5" s="18" t="n">
        <v>0</v>
      </c>
      <c r="I5" s="18">
        <f>G5+H5</f>
        <v/>
      </c>
      <c r="J5" s="18" t="n">
        <v>0.04166666666666666</v>
      </c>
      <c r="K5" s="19">
        <f>IF(J5&gt;=I5,"+","-")&amp;TEXT(ABS(J5-I5),"[h]""h"" mm""m""")</f>
        <v/>
      </c>
    </row>
    <row r="6">
      <c r="A6" s="16" t="inlineStr">
        <is>
          <t>Wk1  03 Aug–09 Aug</t>
        </is>
      </c>
      <c r="B6" s="16" t="inlineStr">
        <is>
          <t>Atta Ul Mustafa Saad</t>
        </is>
      </c>
      <c r="C6" s="16" t="inlineStr">
        <is>
          <t>Builders Trade Depot</t>
        </is>
      </c>
      <c r="D6" s="17" t="inlineStr">
        <is>
          <t>Rebrand BTD</t>
        </is>
      </c>
      <c r="E6" s="17" t="inlineStr">
        <is>
          <t>Rebranding BTD to Bathroom and Tiles Direct: logo and guidelines.</t>
        </is>
      </c>
      <c r="F6" s="16" t="inlineStr">
        <is>
          <t>completed</t>
        </is>
      </c>
      <c r="G6" s="18" t="n">
        <v>0</v>
      </c>
      <c r="H6" s="18" t="n">
        <v>0</v>
      </c>
      <c r="I6" s="18">
        <f>G6+H6</f>
        <v/>
      </c>
      <c r="J6" s="18" t="n">
        <v>0.1666666666666667</v>
      </c>
      <c r="K6" s="19">
        <f>IF(J6&gt;=I6,"+","-")&amp;TEXT(ABS(J6-I6),"[h]""h"" mm""m""")</f>
        <v/>
      </c>
    </row>
    <row r="7">
      <c r="A7" s="16" t="inlineStr">
        <is>
          <t>Wk1  03 Aug–09 Aug</t>
        </is>
      </c>
      <c r="B7" s="16" t="inlineStr">
        <is>
          <t>Atta Ul Mustafa Saad</t>
        </is>
      </c>
      <c r="C7" s="16" t="inlineStr">
        <is>
          <t>Linknbit</t>
        </is>
      </c>
      <c r="D7" s="17" t="inlineStr">
        <is>
          <t>Thumbnails</t>
        </is>
      </c>
      <c r="E7" s="17" t="inlineStr">
        <is>
          <t>Designing video/post thumbnails.</t>
        </is>
      </c>
      <c r="F7" s="16" t="inlineStr">
        <is>
          <t>completed</t>
        </is>
      </c>
      <c r="G7" s="18" t="n">
        <v>0</v>
      </c>
      <c r="H7" s="18" t="n">
        <v>0</v>
      </c>
      <c r="I7" s="18">
        <f>G7+H7</f>
        <v/>
      </c>
      <c r="J7" s="18" t="n">
        <v>0.1875</v>
      </c>
      <c r="K7" s="19">
        <f>IF(J7&gt;=I7,"+","-")&amp;TEXT(ABS(J7-I7),"[h]""h"" mm""m""")</f>
        <v/>
      </c>
    </row>
    <row r="8">
      <c r="A8" s="16" t="inlineStr">
        <is>
          <t>Wk1  03 Aug–09 Aug</t>
        </is>
      </c>
      <c r="B8" s="16" t="inlineStr">
        <is>
          <t>Atta Ul Mustafa Saad</t>
        </is>
      </c>
      <c r="C8" s="16" t="inlineStr">
        <is>
          <t>Linknbit</t>
        </is>
      </c>
      <c r="D8" s="17" t="inlineStr">
        <is>
          <t>Week 1 Social Media Content</t>
        </is>
      </c>
      <c r="E8" s="17" t="inlineStr">
        <is>
          <t>Week 1 posts, including employee profile posts.</t>
        </is>
      </c>
      <c r="F8" s="16" t="inlineStr">
        <is>
          <t>approved</t>
        </is>
      </c>
      <c r="G8" s="18" t="n">
        <v>0</v>
      </c>
      <c r="H8" s="18" t="n">
        <v>0</v>
      </c>
      <c r="I8" s="18">
        <f>G8+H8</f>
        <v/>
      </c>
      <c r="J8" s="18" t="n">
        <v>0.4583333333333333</v>
      </c>
      <c r="K8" s="19">
        <f>IF(J8&gt;=I8,"+","-")&amp;TEXT(ABS(J8-I8),"[h]""h"" mm""m""")</f>
        <v/>
      </c>
    </row>
    <row r="9">
      <c r="A9" s="16" t="inlineStr">
        <is>
          <t>Wk1  03 Aug–09 Aug</t>
        </is>
      </c>
      <c r="B9" s="16" t="inlineStr">
        <is>
          <t>khizer hayat</t>
        </is>
      </c>
      <c r="C9" s="16" t="inlineStr">
        <is>
          <t>Zedan</t>
        </is>
      </c>
      <c r="D9" s="17" t="inlineStr">
        <is>
          <t>Mega Menu</t>
        </is>
      </c>
      <c r="E9" s="17" t="inlineStr">
        <is>
          <t>Designing the dropdown menu with category images and links.</t>
        </is>
      </c>
      <c r="F9" s="16" t="inlineStr">
        <is>
          <t>completed</t>
        </is>
      </c>
      <c r="G9" s="18" t="n">
        <v>0</v>
      </c>
      <c r="H9" s="18" t="n">
        <v>0</v>
      </c>
      <c r="I9" s="18">
        <f>G9+H9</f>
        <v/>
      </c>
      <c r="J9" s="18" t="n">
        <v>0</v>
      </c>
      <c r="K9" s="19">
        <f>IF(J9&gt;=I9,"+","-")&amp;TEXT(ABS(J9-I9),"[h]""h"" mm""m""")</f>
        <v/>
      </c>
    </row>
    <row r="10">
      <c r="A10" s="16" t="inlineStr">
        <is>
          <t>Wk2  10 Aug–16 Aug</t>
        </is>
      </c>
      <c r="B10" s="16" t="inlineStr">
        <is>
          <t>Abbas Khan</t>
        </is>
      </c>
      <c r="C10" s="16" t="inlineStr">
        <is>
          <t>Zedan</t>
        </is>
      </c>
      <c r="D10" s="17" t="inlineStr">
        <is>
          <t>Generate Image</t>
        </is>
      </c>
      <c r="E10" s="17" t="inlineStr">
        <is>
          <t>Generating imagery with AI.</t>
        </is>
      </c>
      <c r="F10" s="16" t="inlineStr">
        <is>
          <t>completed</t>
        </is>
      </c>
      <c r="G10" s="18" t="n">
        <v>0.08263888888888889</v>
      </c>
      <c r="H10" s="18" t="n">
        <v>0</v>
      </c>
      <c r="I10" s="18">
        <f>G10+H10</f>
        <v/>
      </c>
      <c r="J10" s="18" t="n">
        <v>0</v>
      </c>
      <c r="K10" s="19">
        <f>IF(J10&gt;=I10,"+","-")&amp;TEXT(ABS(J10-I10),"[h]""h"" mm""m""")</f>
        <v/>
      </c>
    </row>
    <row r="11">
      <c r="A11" s="16" t="inlineStr">
        <is>
          <t>Wk2  10 Aug–16 Aug</t>
        </is>
      </c>
      <c r="B11" s="16" t="inlineStr">
        <is>
          <t>Atta Ul Mustafa Saad</t>
        </is>
      </c>
      <c r="C11" s="16" t="inlineStr">
        <is>
          <t>Greta Grove</t>
        </is>
      </c>
      <c r="D11" s="17" t="inlineStr">
        <is>
          <t>Design SEO Pages</t>
        </is>
      </c>
      <c r="E11" s="17" t="inlineStr">
        <is>
          <t>Designing pages built specifically to rank in search.</t>
        </is>
      </c>
      <c r="F11" s="16" t="inlineStr">
        <is>
          <t>approved</t>
        </is>
      </c>
      <c r="G11" s="18" t="n">
        <v>0</v>
      </c>
      <c r="H11" s="18" t="n">
        <v>0</v>
      </c>
      <c r="I11" s="18">
        <f>G11+H11</f>
        <v/>
      </c>
      <c r="J11" s="18" t="n">
        <v>0.08333333333333333</v>
      </c>
      <c r="K11" s="19">
        <f>IF(J11&gt;=I11,"+","-")&amp;TEXT(ABS(J11-I11),"[h]""h"" mm""m""")</f>
        <v/>
      </c>
    </row>
    <row r="12">
      <c r="A12" s="16" t="inlineStr">
        <is>
          <t>Wk2  10 Aug–16 Aug</t>
        </is>
      </c>
      <c r="B12" s="16" t="inlineStr">
        <is>
          <t>Sajawal Khan</t>
        </is>
      </c>
      <c r="C12" s="16" t="inlineStr">
        <is>
          <t>Zedan</t>
        </is>
      </c>
      <c r="D12" s="17" t="inlineStr">
        <is>
          <t>Generate Image</t>
        </is>
      </c>
      <c r="E12" s="17" t="inlineStr">
        <is>
          <t>Generating imagery with AI.</t>
        </is>
      </c>
      <c r="F12" s="16" t="inlineStr">
        <is>
          <t>completed</t>
        </is>
      </c>
      <c r="G12" s="18" t="n">
        <v>0.1520833333333333</v>
      </c>
      <c r="H12" s="18" t="n">
        <v>0</v>
      </c>
      <c r="I12" s="18">
        <f>G12+H12</f>
        <v/>
      </c>
      <c r="J12" s="18" t="n">
        <v>0</v>
      </c>
      <c r="K12" s="19">
        <f>IF(J12&gt;=I12,"+","-")&amp;TEXT(ABS(J12-I12),"[h]""h"" mm""m""")</f>
        <v/>
      </c>
    </row>
    <row r="13">
      <c r="A13" s="16" t="inlineStr">
        <is>
          <t>Wk3  17 Aug–23 Aug</t>
        </is>
      </c>
      <c r="B13" s="16" t="inlineStr">
        <is>
          <t>Atta Ul Mustafa Saad</t>
        </is>
      </c>
      <c r="C13" s="16" t="inlineStr">
        <is>
          <t>Greta Grove</t>
        </is>
      </c>
      <c r="D13" s="17" t="inlineStr">
        <is>
          <t>Aluvo Foamex Board Change</t>
        </is>
      </c>
      <c r="E13" s="17" t="inlineStr">
        <is>
          <t>Correcting an SKU error on an Aluvo design and resupplying it.</t>
        </is>
      </c>
      <c r="F13" s="16" t="inlineStr">
        <is>
          <t>completed</t>
        </is>
      </c>
      <c r="G13" s="18" t="n">
        <v>0.02430555555555556</v>
      </c>
      <c r="H13" s="18" t="n">
        <v>0</v>
      </c>
      <c r="I13" s="18">
        <f>G13+H13</f>
        <v/>
      </c>
      <c r="J13" s="18" t="n">
        <v>0.02083333333333333</v>
      </c>
      <c r="K13" s="19">
        <f>IF(J13&gt;=I13,"+","-")&amp;TEXT(ABS(J13-I13),"[h]""h"" mm""m""")</f>
        <v/>
      </c>
    </row>
    <row r="14">
      <c r="A14" s="16" t="inlineStr">
        <is>
          <t>Wk3  17 Aug–23 Aug</t>
        </is>
      </c>
      <c r="B14" s="16" t="inlineStr">
        <is>
          <t>Atta Ul Mustafa Saad</t>
        </is>
      </c>
      <c r="C14" s="16" t="inlineStr">
        <is>
          <t>Greta Grove</t>
        </is>
      </c>
      <c r="D14" s="17" t="inlineStr">
        <is>
          <t>CLick Sample book change</t>
        </is>
      </c>
      <c r="E14" s="17" t="inlineStr">
        <is>
          <t>Correcting the product specification on the last page.</t>
        </is>
      </c>
      <c r="F14" s="16" t="inlineStr">
        <is>
          <t>completed</t>
        </is>
      </c>
      <c r="G14" s="18" t="n">
        <v>0.001388888888888889</v>
      </c>
      <c r="H14" s="18" t="n">
        <v>0</v>
      </c>
      <c r="I14" s="18">
        <f>G14+H14</f>
        <v/>
      </c>
      <c r="J14" s="18" t="n">
        <v>0</v>
      </c>
      <c r="K14" s="19">
        <f>IF(J14&gt;=I14,"+","-")&amp;TEXT(ABS(J14-I14),"[h]""h"" mm""m""")</f>
        <v/>
      </c>
    </row>
    <row r="15">
      <c r="A15" s="16" t="inlineStr">
        <is>
          <t>Wk3  17 Aug–23 Aug</t>
        </is>
      </c>
      <c r="B15" s="16" t="inlineStr">
        <is>
          <t>Atta Ul Mustafa Saad</t>
        </is>
      </c>
      <c r="C15" s="16" t="inlineStr">
        <is>
          <t>Linknbit</t>
        </is>
      </c>
      <c r="D15" s="17" t="inlineStr">
        <is>
          <t>Case Studies Design</t>
        </is>
      </c>
      <c r="E15" s="17" t="inlineStr">
        <is>
          <t>Designing the case-study pages for our own marketing.</t>
        </is>
      </c>
      <c r="F15" s="16" t="inlineStr">
        <is>
          <t>in_progress</t>
        </is>
      </c>
      <c r="G15" s="18" t="n">
        <v>0.1701388888888889</v>
      </c>
      <c r="H15" s="18" t="n">
        <v>0</v>
      </c>
      <c r="I15" s="18">
        <f>G15+H15</f>
        <v/>
      </c>
      <c r="J15" s="18" t="n">
        <v>1.25</v>
      </c>
      <c r="K15" s="19">
        <f>IF(J15&gt;=I15,"+","-")&amp;TEXT(ABS(J15-I15),"[h]""h"" mm""m""")</f>
        <v/>
      </c>
    </row>
    <row r="16">
      <c r="A16" s="16" t="inlineStr">
        <is>
          <t>Wk3  17 Aug–23 Aug</t>
        </is>
      </c>
      <c r="B16" s="16" t="inlineStr">
        <is>
          <t>Atta Ul Mustafa Saad</t>
        </is>
      </c>
      <c r="C16" s="16" t="inlineStr">
        <is>
          <t>Greta Grove</t>
        </is>
      </c>
      <c r="D16" s="17" t="inlineStr">
        <is>
          <t>Change sample book pages order</t>
        </is>
      </c>
      <c r="E16" s="17" t="inlineStr">
        <is>
          <t>Reordering the pages in the sample book.</t>
        </is>
      </c>
      <c r="F16" s="16" t="inlineStr">
        <is>
          <t>completed</t>
        </is>
      </c>
      <c r="G16" s="18" t="n">
        <v>0.01944444444444444</v>
      </c>
      <c r="H16" s="18" t="n">
        <v>0</v>
      </c>
      <c r="I16" s="18">
        <f>G16+H16</f>
        <v/>
      </c>
      <c r="J16" s="18" t="n">
        <v>0.02083333333333333</v>
      </c>
      <c r="K16" s="19">
        <f>IF(J16&gt;=I16,"+","-")&amp;TEXT(ABS(J16-I16),"[h]""h"" mm""m""")</f>
        <v/>
      </c>
    </row>
    <row r="17">
      <c r="A17" s="16" t="inlineStr">
        <is>
          <t>Wk3  17 Aug–23 Aug</t>
        </is>
      </c>
      <c r="B17" s="16" t="inlineStr">
        <is>
          <t>Atta Ul Mustafa Saad</t>
        </is>
      </c>
      <c r="C17" s="16" t="inlineStr">
        <is>
          <t>Greta Grove</t>
        </is>
      </c>
      <c r="D17" s="17" t="inlineStr">
        <is>
          <t>Co-Extrusion Composite Decking labels</t>
        </is>
      </c>
      <c r="E17" s="17" t="inlineStr">
        <is>
          <t>Creating labels for the composite decking range.</t>
        </is>
      </c>
      <c r="F17" s="16" t="inlineStr">
        <is>
          <t>completed</t>
        </is>
      </c>
      <c r="G17" s="18" t="n">
        <v>0.003472222222222222</v>
      </c>
      <c r="H17" s="18" t="n">
        <v>0</v>
      </c>
      <c r="I17" s="18">
        <f>G17+H17</f>
        <v/>
      </c>
      <c r="J17" s="18" t="n">
        <v>0</v>
      </c>
      <c r="K17" s="19">
        <f>IF(J17&gt;=I17,"+","-")&amp;TEXT(ABS(J17-I17),"[h]""h"" mm""m""")</f>
        <v/>
      </c>
    </row>
    <row r="18">
      <c r="A18" s="16" t="inlineStr">
        <is>
          <t>Wk3  17 Aug–23 Aug</t>
        </is>
      </c>
      <c r="B18" s="16" t="inlineStr">
        <is>
          <t>Atta Ul Mustafa Saad</t>
        </is>
      </c>
      <c r="C18" s="16" t="inlineStr">
        <is>
          <t>Neowall</t>
        </is>
      </c>
      <c r="D18" s="17" t="inlineStr">
        <is>
          <t>Collection Page</t>
        </is>
      </c>
      <c r="E18" s="17" t="inlineStr">
        <is>
          <t>Changing the collection page to a full lifestyle image with overlaid text.</t>
        </is>
      </c>
      <c r="F18" s="16" t="inlineStr">
        <is>
          <t>completed</t>
        </is>
      </c>
      <c r="G18" s="18" t="n">
        <v>0.009027777777777777</v>
      </c>
      <c r="H18" s="18" t="n">
        <v>0</v>
      </c>
      <c r="I18" s="18">
        <f>G18+H18</f>
        <v/>
      </c>
      <c r="J18" s="18" t="n">
        <v>0.02083333333333333</v>
      </c>
      <c r="K18" s="19">
        <f>IF(J18&gt;=I18,"+","-")&amp;TEXT(ABS(J18-I18),"[h]""h"" mm""m""")</f>
        <v/>
      </c>
    </row>
    <row r="19">
      <c r="A19" s="16" t="inlineStr">
        <is>
          <t>Wk3  17 Aug–23 Aug</t>
        </is>
      </c>
      <c r="B19" s="16" t="inlineStr">
        <is>
          <t>Atta Ul Mustafa Saad</t>
        </is>
      </c>
      <c r="C19" s="16" t="inlineStr">
        <is>
          <t>Greta Grove</t>
        </is>
      </c>
      <c r="D19" s="17" t="inlineStr">
        <is>
          <t>Logos</t>
        </is>
      </c>
      <c r="E19" s="17" t="inlineStr">
        <is>
          <t>Sharing the Froggit, Aluvo and Vellura logos.</t>
        </is>
      </c>
      <c r="F19" s="16" t="inlineStr">
        <is>
          <t>completed</t>
        </is>
      </c>
      <c r="G19" s="18" t="n">
        <v>0.002777777777777778</v>
      </c>
      <c r="H19" s="18" t="n">
        <v>0</v>
      </c>
      <c r="I19" s="18">
        <f>G19+H19</f>
        <v/>
      </c>
      <c r="J19" s="18" t="n">
        <v>0</v>
      </c>
      <c r="K19" s="19">
        <f>IF(J19&gt;=I19,"+","-")&amp;TEXT(ABS(J19-I19),"[h]""h"" mm""m""")</f>
        <v/>
      </c>
    </row>
    <row r="20">
      <c r="A20" s="16" t="inlineStr">
        <is>
          <t>Wk3  17 Aug–23 Aug</t>
        </is>
      </c>
      <c r="B20" s="16" t="inlineStr">
        <is>
          <t>Atta Ul Mustafa Saad</t>
        </is>
      </c>
      <c r="C20" s="16" t="inlineStr">
        <is>
          <t>Linknbit</t>
        </is>
      </c>
      <c r="D20" s="17" t="inlineStr">
        <is>
          <t>Week 1 Social Media Content</t>
        </is>
      </c>
      <c r="E20" s="17" t="inlineStr">
        <is>
          <t>Week 1 posts, including employee profile posts.</t>
        </is>
      </c>
      <c r="F20" s="16" t="inlineStr">
        <is>
          <t>approved</t>
        </is>
      </c>
      <c r="G20" s="18" t="n">
        <v>0</v>
      </c>
      <c r="H20" s="18" t="n">
        <v>0</v>
      </c>
      <c r="I20" s="18">
        <f>G20+H20</f>
        <v/>
      </c>
      <c r="J20" s="18" t="n">
        <v>0.08333333333333333</v>
      </c>
      <c r="K20" s="19">
        <f>IF(J20&gt;=I20,"+","-")&amp;TEXT(ABS(J20-I20),"[h]""h"" mm""m""")</f>
        <v/>
      </c>
    </row>
    <row r="21">
      <c r="A21" s="16" t="inlineStr">
        <is>
          <t>Wk3  17 Aug–23 Aug</t>
        </is>
      </c>
      <c r="B21" s="16" t="inlineStr">
        <is>
          <t>Maaz Tareen</t>
        </is>
      </c>
      <c r="C21" s="16" t="inlineStr">
        <is>
          <t>Zedan</t>
        </is>
      </c>
      <c r="D21" s="17" t="inlineStr">
        <is>
          <t>Clearance Sale Zedan</t>
        </is>
      </c>
      <c r="E21" s="17" t="inlineStr">
        <is>
          <t>Running the Zedan clearance sale.</t>
        </is>
      </c>
      <c r="F21" s="16" t="inlineStr">
        <is>
          <t>approved</t>
        </is>
      </c>
      <c r="G21" s="18" t="n">
        <v>0</v>
      </c>
      <c r="H21" s="18" t="n">
        <v>0</v>
      </c>
      <c r="I21" s="18">
        <f>G21+H21</f>
        <v/>
      </c>
      <c r="J21" s="18" t="n">
        <v>0.2083333333333333</v>
      </c>
      <c r="K21" s="19">
        <f>IF(J21&gt;=I21,"+","-")&amp;TEXT(ABS(J21-I21),"[h]""h"" mm""m""")</f>
        <v/>
      </c>
    </row>
    <row r="22">
      <c r="A22" s="16" t="inlineStr">
        <is>
          <t>Wk3  17 Aug–23 Aug</t>
        </is>
      </c>
      <c r="B22" s="16" t="inlineStr">
        <is>
          <t>Sajawal Khan</t>
        </is>
      </c>
      <c r="C22" s="16" t="inlineStr">
        <is>
          <t>Neowall</t>
        </is>
      </c>
      <c r="D22" s="17" t="inlineStr">
        <is>
          <t>Collection Page</t>
        </is>
      </c>
      <c r="E22" s="17" t="inlineStr">
        <is>
          <t>Changing the collection page to a full lifestyle image with overlaid text.</t>
        </is>
      </c>
      <c r="F22" s="16" t="inlineStr">
        <is>
          <t>completed</t>
        </is>
      </c>
      <c r="G22" s="18" t="n">
        <v>0</v>
      </c>
      <c r="H22" s="18" t="n">
        <v>0</v>
      </c>
      <c r="I22" s="18">
        <f>G22+H22</f>
        <v/>
      </c>
      <c r="J22" s="18" t="n">
        <v>0.125</v>
      </c>
      <c r="K22" s="19">
        <f>IF(J22&gt;=I22,"+","-")&amp;TEXT(ABS(J22-I22),"[h]""h"" mm""m""")</f>
        <v/>
      </c>
    </row>
    <row r="23">
      <c r="A23" s="16" t="inlineStr">
        <is>
          <t>Wk4  24 Aug–30 Aug</t>
        </is>
      </c>
      <c r="B23" s="16" t="inlineStr">
        <is>
          <t>Atta Ul Mustafa Saad</t>
        </is>
      </c>
      <c r="C23" s="16" t="inlineStr">
        <is>
          <t>Greta Grove</t>
        </is>
      </c>
      <c r="D23" s="17" t="inlineStr">
        <is>
          <t>Ad Creatives</t>
        </is>
      </c>
      <c r="E23" s="17" t="inlineStr">
        <is>
          <t>Google Ads drafts and switcher creatives.</t>
        </is>
      </c>
      <c r="F23" s="16" t="inlineStr">
        <is>
          <t>review</t>
        </is>
      </c>
      <c r="G23" s="18" t="n">
        <v>0.08611111111111111</v>
      </c>
      <c r="H23" s="18" t="n">
        <v>0</v>
      </c>
      <c r="I23" s="18">
        <f>G23+H23</f>
        <v/>
      </c>
      <c r="J23" s="18" t="n">
        <v>0.08333333333333333</v>
      </c>
      <c r="K23" s="19">
        <f>IF(J23&gt;=I23,"+","-")&amp;TEXT(ABS(J23-I23),"[h]""h"" mm""m""")</f>
        <v/>
      </c>
    </row>
    <row r="24">
      <c r="A24" s="16" t="inlineStr">
        <is>
          <t>Wk4  24 Aug–30 Aug</t>
        </is>
      </c>
      <c r="B24" s="16" t="inlineStr">
        <is>
          <t>Atta Ul Mustafa Saad</t>
        </is>
      </c>
      <c r="C24" s="16" t="inlineStr">
        <is>
          <t>Linknbit</t>
        </is>
      </c>
      <c r="D24" s="17" t="inlineStr">
        <is>
          <t>August Birthday Dump Carousel for Linknbit</t>
        </is>
      </c>
      <c r="E24" s="17" t="inlineStr">
        <is>
          <t>An August birthdays carousel post for our own socials.</t>
        </is>
      </c>
      <c r="F24" s="16" t="inlineStr">
        <is>
          <t>approved</t>
        </is>
      </c>
      <c r="G24" s="18" t="n">
        <v>0.2083333333333333</v>
      </c>
      <c r="H24" s="18" t="n">
        <v>0</v>
      </c>
      <c r="I24" s="18">
        <f>G24+H24</f>
        <v/>
      </c>
      <c r="J24" s="18" t="n">
        <v>0.2083333333333333</v>
      </c>
      <c r="K24" s="19">
        <f>IF(J24&gt;=I24,"+","-")&amp;TEXT(ABS(J24-I24),"[h]""h"" mm""m""")</f>
        <v/>
      </c>
    </row>
    <row r="25">
      <c r="A25" s="16" t="inlineStr">
        <is>
          <t>Wk4  24 Aug–30 Aug</t>
        </is>
      </c>
      <c r="B25" s="16" t="inlineStr">
        <is>
          <t>Atta Ul Mustafa Saad</t>
        </is>
      </c>
      <c r="C25" s="16" t="inlineStr">
        <is>
          <t>Greta Grove</t>
        </is>
      </c>
      <c r="D25" s="17" t="inlineStr">
        <is>
          <t>Create Labels as JPEG or PNG</t>
        </is>
      </c>
      <c r="E25" s="17" t="inlineStr">
        <is>
          <t>Exporting product labels as clean image files.</t>
        </is>
      </c>
      <c r="F25" s="16" t="inlineStr">
        <is>
          <t>completed</t>
        </is>
      </c>
      <c r="G25" s="18" t="n">
        <v>0.06527777777777778</v>
      </c>
      <c r="H25" s="18" t="n">
        <v>0</v>
      </c>
      <c r="I25" s="18">
        <f>G25+H25</f>
        <v/>
      </c>
      <c r="J25" s="18" t="n">
        <v>0.05208333333333334</v>
      </c>
      <c r="K25" s="19">
        <f>IF(J25&gt;=I25,"+","-")&amp;TEXT(ABS(J25-I25),"[h]""h"" mm""m""")</f>
        <v/>
      </c>
    </row>
    <row r="26">
      <c r="A26" s="16" t="inlineStr">
        <is>
          <t>Wk4  24 Aug–30 Aug</t>
        </is>
      </c>
      <c r="B26" s="16" t="inlineStr">
        <is>
          <t>Atta Ul Mustafa Saad</t>
        </is>
      </c>
      <c r="C26" s="16" t="inlineStr">
        <is>
          <t>Neowall</t>
        </is>
      </c>
      <c r="D26" s="17" t="inlineStr">
        <is>
          <t>Indoor Product Ads  (Winter Push)</t>
        </is>
      </c>
      <c r="E26" s="17" t="inlineStr">
        <is>
          <t>Ad creatives for the winter indoor-product campaign.</t>
        </is>
      </c>
      <c r="F26" s="16" t="inlineStr">
        <is>
          <t>approved</t>
        </is>
      </c>
      <c r="G26" s="18" t="n">
        <v>0.004861111111111111</v>
      </c>
      <c r="H26" s="18" t="n">
        <v>0</v>
      </c>
      <c r="I26" s="18">
        <f>G26+H26</f>
        <v/>
      </c>
      <c r="J26" s="18" t="n">
        <v>0</v>
      </c>
      <c r="K26" s="19">
        <f>IF(J26&gt;=I26,"+","-")&amp;TEXT(ABS(J26-I26),"[h]""h"" mm""m""")</f>
        <v/>
      </c>
    </row>
    <row r="27">
      <c r="A27" s="16" t="inlineStr">
        <is>
          <t>Wk4  24 Aug–30 Aug</t>
        </is>
      </c>
      <c r="B27" s="16" t="inlineStr">
        <is>
          <t>Atta Ul Mustafa Saad</t>
        </is>
      </c>
      <c r="C27" s="16" t="inlineStr">
        <is>
          <t>Greta Grove</t>
        </is>
      </c>
      <c r="D27" s="17" t="inlineStr">
        <is>
          <t>Neowall Outdoor Sample Boxes</t>
        </is>
      </c>
      <c r="E27" s="17" t="inlineStr">
        <is>
          <t>Changing the outdoor sample box dimensions.</t>
        </is>
      </c>
      <c r="F27" s="16" t="inlineStr">
        <is>
          <t>approved</t>
        </is>
      </c>
      <c r="G27" s="18" t="n">
        <v>0.10625</v>
      </c>
      <c r="H27" s="18" t="n">
        <v>0</v>
      </c>
      <c r="I27" s="18">
        <f>G27+H27</f>
        <v/>
      </c>
      <c r="J27" s="18" t="n">
        <v>0</v>
      </c>
      <c r="K27" s="19">
        <f>IF(J27&gt;=I27,"+","-")&amp;TEXT(ABS(J27-I27),"[h]""h"" mm""m""")</f>
        <v/>
      </c>
    </row>
    <row r="28">
      <c r="A28" s="16" t="inlineStr">
        <is>
          <t>Wk4  24 Aug–30 Aug</t>
        </is>
      </c>
      <c r="B28" s="16" t="inlineStr">
        <is>
          <t>Atta Ul Mustafa Saad</t>
        </is>
      </c>
      <c r="C28" s="16" t="inlineStr">
        <is>
          <t>Greta Grove</t>
        </is>
      </c>
      <c r="D28" s="17" t="inlineStr">
        <is>
          <t>Upload Logos to Drive</t>
        </is>
      </c>
      <c r="E28" s="17" t="inlineStr">
        <is>
          <t>Uploading all sub-brand logos to the shared Drive.</t>
        </is>
      </c>
      <c r="F28" s="16" t="inlineStr">
        <is>
          <t>completed</t>
        </is>
      </c>
      <c r="G28" s="18" t="n">
        <v>0.04305555555555556</v>
      </c>
      <c r="H28" s="18" t="n">
        <v>0</v>
      </c>
      <c r="I28" s="18">
        <f>G28+H28</f>
        <v/>
      </c>
      <c r="J28" s="18" t="n">
        <v>0.08333333333333333</v>
      </c>
      <c r="K28" s="19">
        <f>IF(J28&gt;=I28,"+","-")&amp;TEXT(ABS(J28-I28),"[h]""h"" mm""m""")</f>
        <v/>
      </c>
    </row>
    <row r="29">
      <c r="A29" s="16" t="inlineStr">
        <is>
          <t>Wk4  24 Aug–30 Aug</t>
        </is>
      </c>
      <c r="B29" s="16" t="inlineStr">
        <is>
          <t>Atta Ul Mustafa Saad</t>
        </is>
      </c>
      <c r="C29" s="16" t="inlineStr">
        <is>
          <t>Capital Car Finance (CCF)</t>
        </is>
      </c>
      <c r="D29" s="17" t="inlineStr">
        <is>
          <t>Warrenty Product Page Design</t>
        </is>
      </c>
      <c r="E29" s="17" t="inlineStr">
        <is>
          <t>Designing the new warranty page.</t>
        </is>
      </c>
      <c r="F29" s="16" t="inlineStr">
        <is>
          <t>completed</t>
        </is>
      </c>
      <c r="G29" s="18" t="n">
        <v>0.1569444444444444</v>
      </c>
      <c r="H29" s="18" t="n">
        <v>0.0625</v>
      </c>
      <c r="I29" s="18">
        <f>G29+H29</f>
        <v/>
      </c>
      <c r="J29" s="18" t="n">
        <v>0.0625</v>
      </c>
      <c r="K29" s="19">
        <f>IF(J29&gt;=I29,"+","-")&amp;TEXT(ABS(J29-I29),"[h]""h"" mm""m""")</f>
        <v/>
      </c>
    </row>
    <row r="30">
      <c r="A30" s="16" t="inlineStr">
        <is>
          <t>Wk4  24 Aug–30 Aug</t>
        </is>
      </c>
      <c r="B30" s="16" t="inlineStr">
        <is>
          <t>Atta Ul Mustafa Saad</t>
        </is>
      </c>
      <c r="C30" s="16" t="inlineStr">
        <is>
          <t>Linknbit</t>
        </is>
      </c>
      <c r="D30" s="17" t="inlineStr">
        <is>
          <t>Website Design</t>
        </is>
      </c>
      <c r="E30" s="17" t="inlineStr">
        <is>
          <t>Designing the new Linknbit company website.</t>
        </is>
      </c>
      <c r="F30" s="16" t="inlineStr">
        <is>
          <t>review</t>
        </is>
      </c>
      <c r="G30" s="18" t="n">
        <v>0.2270833333333333</v>
      </c>
      <c r="H30" s="18" t="n">
        <v>0.05208333333333334</v>
      </c>
      <c r="I30" s="18">
        <f>G30+H30</f>
        <v/>
      </c>
      <c r="J30" s="18" t="n">
        <v>0.3333333333333333</v>
      </c>
      <c r="K30" s="19">
        <f>IF(J30&gt;=I30,"+","-")&amp;TEXT(ABS(J30-I30),"[h]""h"" mm""m""")</f>
        <v/>
      </c>
    </row>
    <row r="31">
      <c r="A31" s="16" t="inlineStr">
        <is>
          <t>Wk4  24 Aug–30 Aug</t>
        </is>
      </c>
      <c r="B31" s="16" t="inlineStr">
        <is>
          <t>Maaz Tareen</t>
        </is>
      </c>
      <c r="C31" s="16" t="inlineStr">
        <is>
          <t>Linknbit</t>
        </is>
      </c>
      <c r="D31" s="17" t="inlineStr">
        <is>
          <t>August Birthday Dump Carousel for Linknbit</t>
        </is>
      </c>
      <c r="E31" s="17" t="inlineStr">
        <is>
          <t>An August birthdays carousel post for our own socials.</t>
        </is>
      </c>
      <c r="F31" s="16" t="inlineStr">
        <is>
          <t>approved</t>
        </is>
      </c>
      <c r="G31" s="18" t="n">
        <v>0.1423611111111111</v>
      </c>
      <c r="H31" s="18" t="n">
        <v>0</v>
      </c>
      <c r="I31" s="18">
        <f>G31+H31</f>
        <v/>
      </c>
      <c r="J31" s="18" t="n">
        <v>0.2083333333333333</v>
      </c>
      <c r="K31" s="19">
        <f>IF(J31&gt;=I31,"+","-")&amp;TEXT(ABS(J31-I31),"[h]""h"" mm""m""")</f>
        <v/>
      </c>
    </row>
    <row r="32">
      <c r="A32" s="16" t="inlineStr">
        <is>
          <t>Wk4  24 Aug–30 Aug</t>
        </is>
      </c>
      <c r="B32" s="16" t="inlineStr">
        <is>
          <t>Maaz Tareen</t>
        </is>
      </c>
      <c r="C32" s="16" t="inlineStr">
        <is>
          <t>MAQx</t>
        </is>
      </c>
      <c r="D32" s="17" t="inlineStr">
        <is>
          <t>Hiring Post Design (CELTA-QUALIFIED TEACHER)</t>
        </is>
      </c>
      <c r="E32" s="17" t="inlineStr">
        <is>
          <t>A recruitment post for a CELTA-qualified teacher.</t>
        </is>
      </c>
      <c r="F32" s="16" t="inlineStr">
        <is>
          <t>approved</t>
        </is>
      </c>
      <c r="G32" s="18" t="n">
        <v>0.02291666666666667</v>
      </c>
      <c r="H32" s="18" t="n">
        <v>0.1145833333333333</v>
      </c>
      <c r="I32" s="18">
        <f>G32+H32</f>
        <v/>
      </c>
      <c r="J32" s="18" t="n">
        <v>0.1666666666666667</v>
      </c>
      <c r="K32" s="19">
        <f>IF(J32&gt;=I32,"+","-")&amp;TEXT(ABS(J32-I32),"[h]""h"" mm""m""")</f>
        <v/>
      </c>
    </row>
    <row r="33">
      <c r="A33" s="16" t="inlineStr">
        <is>
          <t>Wk4  24 Aug–30 Aug</t>
        </is>
      </c>
      <c r="B33" s="16" t="inlineStr">
        <is>
          <t>Maaz Tareen</t>
        </is>
      </c>
      <c r="C33" s="16" t="inlineStr">
        <is>
          <t>Linknbit</t>
        </is>
      </c>
      <c r="D33" s="17" t="inlineStr">
        <is>
          <t>New Hiring Post</t>
        </is>
      </c>
      <c r="E33" s="17" t="inlineStr">
        <is>
          <t>Designing a post to recruit two design interns.</t>
        </is>
      </c>
      <c r="F33" s="16" t="inlineStr">
        <is>
          <t>approved</t>
        </is>
      </c>
      <c r="G33" s="18" t="n">
        <v>0.04652777777777778</v>
      </c>
      <c r="H33" s="18" t="n">
        <v>0</v>
      </c>
      <c r="I33" s="18">
        <f>G33+H33</f>
        <v/>
      </c>
      <c r="J33" s="18" t="n">
        <v>0.04166666666666666</v>
      </c>
      <c r="K33" s="19">
        <f>IF(J33&gt;=I33,"+","-")&amp;TEXT(ABS(J33-I33),"[h]""h"" mm""m""")</f>
        <v/>
      </c>
    </row>
    <row r="34">
      <c r="A34" s="16" t="inlineStr">
        <is>
          <t>Wk4  24 Aug–30 Aug</t>
        </is>
      </c>
      <c r="B34" s="16" t="inlineStr">
        <is>
          <t>Maaz Tareen</t>
        </is>
      </c>
      <c r="C34" s="16" t="inlineStr">
        <is>
          <t>Linknbit</t>
        </is>
      </c>
      <c r="D34" s="17" t="inlineStr">
        <is>
          <t>Website Design</t>
        </is>
      </c>
      <c r="E34" s="17" t="inlineStr">
        <is>
          <t>Designing the new Linknbit company website.</t>
        </is>
      </c>
      <c r="F34" s="16" t="inlineStr">
        <is>
          <t>review</t>
        </is>
      </c>
      <c r="G34" s="18" t="n">
        <v>0</v>
      </c>
      <c r="H34" s="18" t="n">
        <v>0</v>
      </c>
      <c r="I34" s="18">
        <f>G34+H34</f>
        <v/>
      </c>
      <c r="J34" s="18" t="n">
        <v>0.04166666666666666</v>
      </c>
      <c r="K34" s="19">
        <f>IF(J34&gt;=I34,"+","-")&amp;TEXT(ABS(J34-I34),"[h]""h"" mm""m""")</f>
        <v/>
      </c>
    </row>
    <row r="35">
      <c r="A35" s="16" t="inlineStr">
        <is>
          <t>Wk5  31 Aug–06 Sep</t>
        </is>
      </c>
      <c r="B35" s="16" t="inlineStr">
        <is>
          <t>Abbas Khan</t>
        </is>
      </c>
      <c r="C35" s="16" t="inlineStr">
        <is>
          <t>Linknbit</t>
        </is>
      </c>
      <c r="D35" s="17" t="inlineStr">
        <is>
          <t>Footer design + Remaining linknbit page</t>
        </is>
      </c>
      <c r="E35" s="17" t="inlineStr">
        <is>
          <t>Designing the footer and the remaining site pages.</t>
        </is>
      </c>
      <c r="F35" s="16" t="inlineStr">
        <is>
          <t>approved</t>
        </is>
      </c>
      <c r="G35" s="18" t="n">
        <v>0.01388888888888889</v>
      </c>
      <c r="H35" s="18" t="n">
        <v>0</v>
      </c>
      <c r="I35" s="18">
        <f>G35+H35</f>
        <v/>
      </c>
      <c r="J35" s="18" t="n">
        <v>0</v>
      </c>
      <c r="K35" s="19">
        <f>IF(J35&gt;=I35,"+","-")&amp;TEXT(ABS(J35-I35),"[h]""h"" mm""m""")</f>
        <v/>
      </c>
    </row>
    <row r="36">
      <c r="A36" s="16" t="inlineStr">
        <is>
          <t>Wk5  31 Aug–06 Sep</t>
        </is>
      </c>
      <c r="B36" s="16" t="inlineStr">
        <is>
          <t>Atta Ul Mustafa Saad</t>
        </is>
      </c>
      <c r="C36" s="16" t="inlineStr">
        <is>
          <t>Greta Grove</t>
        </is>
      </c>
      <c r="D36" s="17" t="inlineStr">
        <is>
          <t>Ad Creatives</t>
        </is>
      </c>
      <c r="E36" s="17" t="inlineStr">
        <is>
          <t>Google Ads drafts and switcher creatives.</t>
        </is>
      </c>
      <c r="F36" s="16" t="inlineStr">
        <is>
          <t>review</t>
        </is>
      </c>
      <c r="G36" s="18" t="n">
        <v>0.09930555555555555</v>
      </c>
      <c r="H36" s="18" t="n">
        <v>0</v>
      </c>
      <c r="I36" s="18">
        <f>G36+H36</f>
        <v/>
      </c>
      <c r="J36" s="18" t="n">
        <v>0.1</v>
      </c>
      <c r="K36" s="19">
        <f>IF(J36&gt;=I36,"+","-")&amp;TEXT(ABS(J36-I36),"[h]""h"" mm""m""")</f>
        <v/>
      </c>
    </row>
    <row r="37">
      <c r="A37" s="16" t="inlineStr">
        <is>
          <t>Wk5  31 Aug–06 Sep</t>
        </is>
      </c>
      <c r="B37" s="16" t="inlineStr">
        <is>
          <t>Atta Ul Mustafa Saad</t>
        </is>
      </c>
      <c r="C37" s="16" t="inlineStr">
        <is>
          <t>Greta Grove</t>
        </is>
      </c>
      <c r="D37" s="17" t="inlineStr">
        <is>
          <t>Aluvo Sample Books</t>
        </is>
      </c>
      <c r="E37" s="17" t="inlineStr">
        <is>
          <t>Reworking the Aluvo sample book to new dimensions.</t>
        </is>
      </c>
      <c r="F37" s="16" t="inlineStr">
        <is>
          <t>todo</t>
        </is>
      </c>
      <c r="G37" s="18" t="n">
        <v>0.08194444444444444</v>
      </c>
      <c r="H37" s="18" t="n">
        <v>0</v>
      </c>
      <c r="I37" s="18">
        <f>G37+H37</f>
        <v/>
      </c>
      <c r="J37" s="18" t="n">
        <v>0.08194444444444444</v>
      </c>
      <c r="K37" s="19">
        <f>IF(J37&gt;=I37,"+","-")&amp;TEXT(ABS(J37-I37),"[h]""h"" mm""m""")</f>
        <v/>
      </c>
    </row>
    <row r="38">
      <c r="A38" s="16" t="inlineStr">
        <is>
          <t>Wk5  31 Aug–06 Sep</t>
        </is>
      </c>
      <c r="B38" s="16" t="inlineStr">
        <is>
          <t>Atta Ul Mustafa Saad</t>
        </is>
      </c>
      <c r="C38" s="16" t="inlineStr">
        <is>
          <t>Linknbit</t>
        </is>
      </c>
      <c r="D38" s="17" t="inlineStr">
        <is>
          <t>August Birthday Dump Carousel for Linknbit</t>
        </is>
      </c>
      <c r="E38" s="17" t="inlineStr">
        <is>
          <t>An August birthdays carousel post for our own socials.</t>
        </is>
      </c>
      <c r="F38" s="16" t="inlineStr">
        <is>
          <t>approved</t>
        </is>
      </c>
      <c r="G38" s="18" t="n">
        <v>0.01111111111111111</v>
      </c>
      <c r="H38" s="18" t="n">
        <v>0</v>
      </c>
      <c r="I38" s="18">
        <f>G38+H38</f>
        <v/>
      </c>
      <c r="J38" s="18" t="n">
        <v>0.08263888888888889</v>
      </c>
      <c r="K38" s="19">
        <f>IF(J38&gt;=I38,"+","-")&amp;TEXT(ABS(J38-I38),"[h]""h"" mm""m""")</f>
        <v/>
      </c>
    </row>
    <row r="39">
      <c r="A39" s="16" t="inlineStr">
        <is>
          <t>Wk5  31 Aug–06 Sep</t>
        </is>
      </c>
      <c r="B39" s="16" t="inlineStr">
        <is>
          <t>Atta Ul Mustafa Saad</t>
        </is>
      </c>
      <c r="C39" s="16" t="inlineStr">
        <is>
          <t>Neowall</t>
        </is>
      </c>
      <c r="D39" s="17" t="inlineStr">
        <is>
          <t>Indoor Product Ads  (Winter Push)</t>
        </is>
      </c>
      <c r="E39" s="17" t="inlineStr">
        <is>
          <t>Ad creatives for the winter indoor-product campaign.</t>
        </is>
      </c>
      <c r="F39" s="16" t="inlineStr">
        <is>
          <t>approved</t>
        </is>
      </c>
      <c r="G39" s="18" t="n">
        <v>0.43125</v>
      </c>
      <c r="H39" s="18" t="n">
        <v>0</v>
      </c>
      <c r="I39" s="18">
        <f>G39+H39</f>
        <v/>
      </c>
      <c r="J39" s="18" t="n">
        <v>0.4006944444444445</v>
      </c>
      <c r="K39" s="19">
        <f>IF(J39&gt;=I39,"+","-")&amp;TEXT(ABS(J39-I39),"[h]""h"" mm""m""")</f>
        <v/>
      </c>
    </row>
    <row r="40">
      <c r="A40" s="16" t="inlineStr">
        <is>
          <t>Wk5  31 Aug–06 Sep</t>
        </is>
      </c>
      <c r="B40" s="16" t="inlineStr">
        <is>
          <t>Atta Ul Mustafa Saad</t>
        </is>
      </c>
      <c r="C40" s="16" t="inlineStr">
        <is>
          <t>Linknbit</t>
        </is>
      </c>
      <c r="D40" s="17" t="inlineStr">
        <is>
          <t>New Hiring Post</t>
        </is>
      </c>
      <c r="E40" s="17" t="inlineStr">
        <is>
          <t>Designing a post to recruit two design interns.</t>
        </is>
      </c>
      <c r="F40" s="16" t="inlineStr">
        <is>
          <t>approved</t>
        </is>
      </c>
      <c r="G40" s="18" t="n">
        <v>0.01319444444444444</v>
      </c>
      <c r="H40" s="18" t="n">
        <v>0</v>
      </c>
      <c r="I40" s="18">
        <f>G40+H40</f>
        <v/>
      </c>
      <c r="J40" s="18" t="n">
        <v>0.01319444444444444</v>
      </c>
      <c r="K40" s="19">
        <f>IF(J40&gt;=I40,"+","-")&amp;TEXT(ABS(J40-I40),"[h]""h"" mm""m""")</f>
        <v/>
      </c>
    </row>
    <row r="41">
      <c r="A41" s="16" t="inlineStr">
        <is>
          <t>Wk5  31 Aug–06 Sep</t>
        </is>
      </c>
      <c r="B41" s="16" t="inlineStr">
        <is>
          <t>Atta Ul Mustafa Saad</t>
        </is>
      </c>
      <c r="C41" s="16" t="inlineStr">
        <is>
          <t>Capital Car Finance (CCF)</t>
        </is>
      </c>
      <c r="D41" s="17" t="inlineStr">
        <is>
          <t>Warranty Product Page Detailed Page</t>
        </is>
      </c>
      <c r="E41" s="17" t="inlineStr">
        <is>
          <t>Building five detailed warranty pages, each with an enquiry form.</t>
        </is>
      </c>
      <c r="F41" s="16" t="inlineStr">
        <is>
          <t>approved</t>
        </is>
      </c>
      <c r="G41" s="18" t="n">
        <v>0.7013888888888888</v>
      </c>
      <c r="H41" s="18" t="n">
        <v>0</v>
      </c>
      <c r="I41" s="18">
        <f>G41+H41</f>
        <v/>
      </c>
      <c r="J41" s="18" t="n">
        <v>0.6548611111111111</v>
      </c>
      <c r="K41" s="19">
        <f>IF(J41&gt;=I41,"+","-")&amp;TEXT(ABS(J41-I41),"[h]""h"" mm""m""")</f>
        <v/>
      </c>
    </row>
    <row r="42">
      <c r="A42" s="16" t="inlineStr">
        <is>
          <t>Wk5  31 Aug–06 Sep</t>
        </is>
      </c>
      <c r="B42" s="16" t="inlineStr">
        <is>
          <t>Maaz Tareen</t>
        </is>
      </c>
      <c r="C42" s="16" t="inlineStr">
        <is>
          <t>Zedan</t>
        </is>
      </c>
      <c r="D42" s="17" t="inlineStr">
        <is>
          <t>Ad creative All over Pakistan</t>
        </is>
      </c>
      <c r="E42" s="17" t="inlineStr">
        <is>
          <t>Nationwide clearance-sale ad creatives.</t>
        </is>
      </c>
      <c r="F42" s="16" t="inlineStr">
        <is>
          <t>approved</t>
        </is>
      </c>
      <c r="G42" s="18" t="n">
        <v>0.1826388888888889</v>
      </c>
      <c r="H42" s="18" t="n">
        <v>0.01388888888888889</v>
      </c>
      <c r="I42" s="18">
        <f>G42+H42</f>
        <v/>
      </c>
      <c r="J42" s="18" t="n">
        <v>0.2708333333333333</v>
      </c>
      <c r="K42" s="19">
        <f>IF(J42&gt;=I42,"+","-")&amp;TEXT(ABS(J42-I42),"[h]""h"" mm""m""")</f>
        <v/>
      </c>
    </row>
    <row r="43">
      <c r="A43" s="16" t="inlineStr">
        <is>
          <t>Wk5  31 Aug–06 Sep</t>
        </is>
      </c>
      <c r="B43" s="16" t="inlineStr">
        <is>
          <t>Maaz Tareen</t>
        </is>
      </c>
      <c r="C43" s="16" t="inlineStr">
        <is>
          <t>Zedan</t>
        </is>
      </c>
      <c r="D43" s="17" t="inlineStr">
        <is>
          <t>Ad creative for Lahore</t>
        </is>
      </c>
      <c r="E43" s="17" t="inlineStr">
        <is>
          <t>Ad creatives for the Lahore clearance-sale campaign.</t>
        </is>
      </c>
      <c r="F43" s="16" t="inlineStr">
        <is>
          <t>approved</t>
        </is>
      </c>
      <c r="G43" s="18" t="n">
        <v>0.5145833333333333</v>
      </c>
      <c r="H43" s="18" t="n">
        <v>0</v>
      </c>
      <c r="I43" s="18">
        <f>G43+H43</f>
        <v/>
      </c>
      <c r="J43" s="18" t="n">
        <v>0.5493055555555556</v>
      </c>
      <c r="K43" s="19">
        <f>IF(J43&gt;=I43,"+","-")&amp;TEXT(ABS(J43-I43),"[h]""h"" mm""m""")</f>
        <v/>
      </c>
    </row>
    <row r="44">
      <c r="A44" s="16" t="inlineStr">
        <is>
          <t>Wk5  31 Aug–06 Sep</t>
        </is>
      </c>
      <c r="B44" s="16" t="inlineStr">
        <is>
          <t>Maaz Tareen</t>
        </is>
      </c>
      <c r="C44" s="16" t="inlineStr">
        <is>
          <t>Greta Grove</t>
        </is>
      </c>
      <c r="D44" s="17" t="inlineStr">
        <is>
          <t>Aluvo Sample Books</t>
        </is>
      </c>
      <c r="E44" s="17" t="inlineStr">
        <is>
          <t>Reworking the Aluvo sample book to new dimensions.</t>
        </is>
      </c>
      <c r="F44" s="16" t="inlineStr">
        <is>
          <t>todo</t>
        </is>
      </c>
      <c r="G44" s="18" t="n">
        <v>0.04444444444444445</v>
      </c>
      <c r="H44" s="18" t="n">
        <v>0</v>
      </c>
      <c r="I44" s="18">
        <f>G44+H44</f>
        <v/>
      </c>
      <c r="J44" s="18" t="n">
        <v>0.04861111111111111</v>
      </c>
      <c r="K44" s="19">
        <f>IF(J44&gt;=I44,"+","-")&amp;TEXT(ABS(J44-I44),"[h]""h"" mm""m""")</f>
        <v/>
      </c>
    </row>
    <row r="45">
      <c r="A45" s="16" t="inlineStr">
        <is>
          <t>Wk5  31 Aug–06 Sep</t>
        </is>
      </c>
      <c r="B45" s="16" t="inlineStr">
        <is>
          <t>Maaz Tareen</t>
        </is>
      </c>
      <c r="C45" s="16" t="inlineStr">
        <is>
          <t>Greta Grove</t>
        </is>
      </c>
      <c r="D45" s="17" t="inlineStr">
        <is>
          <t>Design SEO Pages</t>
        </is>
      </c>
      <c r="E45" s="17" t="inlineStr">
        <is>
          <t>Designing pages built specifically to rank in search.</t>
        </is>
      </c>
      <c r="F45" s="16" t="inlineStr">
        <is>
          <t>approved</t>
        </is>
      </c>
      <c r="G45" s="18" t="n">
        <v>0.1597222222222222</v>
      </c>
      <c r="H45" s="18" t="n">
        <v>0</v>
      </c>
      <c r="I45" s="18">
        <f>G45+H45</f>
        <v/>
      </c>
      <c r="J45" s="18" t="n">
        <v>0.1944444444444444</v>
      </c>
      <c r="K45" s="19">
        <f>IF(J45&gt;=I45,"+","-")&amp;TEXT(ABS(J45-I45),"[h]""h"" mm""m""")</f>
        <v/>
      </c>
    </row>
    <row r="46">
      <c r="A46" s="16" t="inlineStr">
        <is>
          <t>Wk5  31 Aug–06 Sep</t>
        </is>
      </c>
      <c r="B46" s="16" t="inlineStr">
        <is>
          <t>Maaz Tareen</t>
        </is>
      </c>
      <c r="C46" s="16" t="inlineStr">
        <is>
          <t>Linknbit</t>
        </is>
      </c>
      <c r="D46" s="17" t="inlineStr">
        <is>
          <t>Footer design + Remaining linknbit page</t>
        </is>
      </c>
      <c r="E46" s="17" t="inlineStr">
        <is>
          <t>Designing the footer and the remaining site pages.</t>
        </is>
      </c>
      <c r="F46" s="16" t="inlineStr">
        <is>
          <t>approved</t>
        </is>
      </c>
      <c r="G46" s="18" t="n">
        <v>0.1326388888888889</v>
      </c>
      <c r="H46" s="18" t="n">
        <v>0</v>
      </c>
      <c r="I46" s="18">
        <f>G46+H46</f>
        <v/>
      </c>
      <c r="J46" s="18" t="n">
        <v>0.1458333333333333</v>
      </c>
      <c r="K46" s="19">
        <f>IF(J46&gt;=I46,"+","-")&amp;TEXT(ABS(J46-I46),"[h]""h"" mm""m""")</f>
        <v/>
      </c>
    </row>
    <row r="47">
      <c r="A47" s="16" t="inlineStr">
        <is>
          <t>Wk5  31 Aug–06 Sep</t>
        </is>
      </c>
      <c r="B47" s="16" t="inlineStr">
        <is>
          <t>Maaz Tareen</t>
        </is>
      </c>
      <c r="C47" s="16" t="inlineStr">
        <is>
          <t>Linknbit</t>
        </is>
      </c>
      <c r="D47" s="17" t="inlineStr">
        <is>
          <t>New Hiring Post</t>
        </is>
      </c>
      <c r="E47" s="17" t="inlineStr">
        <is>
          <t>Designing a post to recruit two design interns.</t>
        </is>
      </c>
      <c r="F47" s="16" t="inlineStr">
        <is>
          <t>approved</t>
        </is>
      </c>
      <c r="G47" s="18" t="n">
        <v>0.2097222222222222</v>
      </c>
      <c r="H47" s="18" t="n">
        <v>0</v>
      </c>
      <c r="I47" s="18">
        <f>G47+H47</f>
        <v/>
      </c>
      <c r="J47" s="18" t="n">
        <v>0.3</v>
      </c>
      <c r="K47" s="19">
        <f>IF(J47&gt;=I47,"+","-")&amp;TEXT(ABS(J47-I47),"[h]""h"" mm""m""")</f>
        <v/>
      </c>
    </row>
    <row r="48">
      <c r="A48" s="16" t="inlineStr">
        <is>
          <t>Wk5  31 Aug–06 Sep</t>
        </is>
      </c>
      <c r="B48" s="16" t="inlineStr">
        <is>
          <t>Maaz Tareen</t>
        </is>
      </c>
      <c r="C48" s="16" t="inlineStr">
        <is>
          <t>Linknbit</t>
        </is>
      </c>
      <c r="D48" s="17" t="inlineStr">
        <is>
          <t>Reel Editing for Linknbit</t>
        </is>
      </c>
      <c r="E48" s="17" t="inlineStr">
        <is>
          <t>Editing our own reels from approved content.</t>
        </is>
      </c>
      <c r="F48" s="16" t="inlineStr">
        <is>
          <t>approved</t>
        </is>
      </c>
      <c r="G48" s="18" t="n">
        <v>0.03819444444444445</v>
      </c>
      <c r="H48" s="18" t="n">
        <v>0</v>
      </c>
      <c r="I48" s="18">
        <f>G48+H48</f>
        <v/>
      </c>
      <c r="J48" s="18" t="n">
        <v>0.04166666666666666</v>
      </c>
      <c r="K48" s="19">
        <f>IF(J48&gt;=I48,"+","-")&amp;TEXT(ABS(J48-I48),"[h]""h"" mm""m""")</f>
        <v/>
      </c>
    </row>
    <row r="49">
      <c r="A49" s="16" t="inlineStr">
        <is>
          <t>Wk5  31 Aug–06 Sep</t>
        </is>
      </c>
      <c r="B49" s="16" t="inlineStr">
        <is>
          <t>Maaz Tareen</t>
        </is>
      </c>
      <c r="C49" s="16" t="inlineStr">
        <is>
          <t>MAQx</t>
        </is>
      </c>
      <c r="D49" s="17" t="inlineStr">
        <is>
          <t>Visa Post Design</t>
        </is>
      </c>
      <c r="E49" s="17" t="inlineStr">
        <is>
          <t>A student visa success post.</t>
        </is>
      </c>
      <c r="F49" s="16" t="inlineStr">
        <is>
          <t>approved</t>
        </is>
      </c>
      <c r="G49" s="18" t="n">
        <v>0.06458333333333334</v>
      </c>
      <c r="H49" s="18" t="n">
        <v>0</v>
      </c>
      <c r="I49" s="18">
        <f>G49+H49</f>
        <v/>
      </c>
      <c r="J49" s="18" t="n">
        <v>0.08333333333333333</v>
      </c>
      <c r="K49" s="19">
        <f>IF(J49&gt;=I49,"+","-")&amp;TEXT(ABS(J49-I49),"[h]""h"" mm""m""")</f>
        <v/>
      </c>
    </row>
    <row r="50">
      <c r="A50" s="16" t="inlineStr">
        <is>
          <t>Wk6  07 Sep–13 Sep</t>
        </is>
      </c>
      <c r="B50" s="16" t="inlineStr">
        <is>
          <t>Abbas Khan</t>
        </is>
      </c>
      <c r="C50" s="16" t="inlineStr">
        <is>
          <t>Titan Forge</t>
        </is>
      </c>
      <c r="D50" s="17" t="inlineStr">
        <is>
          <t>Design Improvements</t>
        </is>
      </c>
      <c r="E50" s="17" t="inlineStr">
        <is>
          <t>Improving the visual design across the whole site.</t>
        </is>
      </c>
      <c r="F50" s="16" t="inlineStr">
        <is>
          <t>review</t>
        </is>
      </c>
      <c r="G50" s="18" t="n">
        <v>0.4097222222222222</v>
      </c>
      <c r="H50" s="18" t="n">
        <v>0</v>
      </c>
      <c r="I50" s="18">
        <f>G50+H50</f>
        <v/>
      </c>
      <c r="J50" s="18" t="n">
        <v>0.4166666666666667</v>
      </c>
      <c r="K50" s="19">
        <f>IF(J50&gt;=I50,"+","-")&amp;TEXT(ABS(J50-I50),"[h]""h"" mm""m""")</f>
        <v/>
      </c>
    </row>
    <row r="51">
      <c r="A51" s="16" t="inlineStr">
        <is>
          <t>Wk6  07 Sep–13 Sep</t>
        </is>
      </c>
      <c r="B51" s="16" t="inlineStr">
        <is>
          <t>Atta Ul Mustafa Saad</t>
        </is>
      </c>
      <c r="C51" s="16" t="inlineStr">
        <is>
          <t>Greta Grove</t>
        </is>
      </c>
      <c r="D51" s="17" t="inlineStr">
        <is>
          <t>Accoutic sample box chnage</t>
        </is>
      </c>
      <c r="E51" s="17" t="inlineStr">
        <is>
          <t>Changing the slogan on the acoustic sample box.</t>
        </is>
      </c>
      <c r="F51" s="16" t="inlineStr">
        <is>
          <t>approved</t>
        </is>
      </c>
      <c r="G51" s="18" t="n">
        <v>0.003472222222222222</v>
      </c>
      <c r="H51" s="18" t="n">
        <v>0</v>
      </c>
      <c r="I51" s="18">
        <f>G51+H51</f>
        <v/>
      </c>
      <c r="J51" s="18" t="n">
        <v>0.003472222222222222</v>
      </c>
      <c r="K51" s="19">
        <f>IF(J51&gt;=I51,"+","-")&amp;TEXT(ABS(J51-I51),"[h]""h"" mm""m""")</f>
        <v/>
      </c>
    </row>
    <row r="52">
      <c r="A52" s="16" t="inlineStr">
        <is>
          <t>Wk6  07 Sep–13 Sep</t>
        </is>
      </c>
      <c r="B52" s="16" t="inlineStr">
        <is>
          <t>Atta Ul Mustafa Saad</t>
        </is>
      </c>
      <c r="C52" s="16" t="inlineStr">
        <is>
          <t>Greta Grove</t>
        </is>
      </c>
      <c r="D52" s="17" t="inlineStr">
        <is>
          <t>Ad Creatives</t>
        </is>
      </c>
      <c r="E52" s="17" t="inlineStr">
        <is>
          <t>Google Ads drafts and switcher creatives.</t>
        </is>
      </c>
      <c r="F52" s="16" t="inlineStr">
        <is>
          <t>review</t>
        </is>
      </c>
      <c r="G52" s="18" t="n">
        <v>0.1604166666666667</v>
      </c>
      <c r="H52" s="18" t="n">
        <v>0</v>
      </c>
      <c r="I52" s="18">
        <f>G52+H52</f>
        <v/>
      </c>
      <c r="J52" s="18" t="n">
        <v>0.1479166666666667</v>
      </c>
      <c r="K52" s="19">
        <f>IF(J52&gt;=I52,"+","-")&amp;TEXT(ABS(J52-I52),"[h]""h"" mm""m""")</f>
        <v/>
      </c>
    </row>
    <row r="53">
      <c r="A53" s="16" t="inlineStr">
        <is>
          <t>Wk6  07 Sep–13 Sep</t>
        </is>
      </c>
      <c r="B53" s="16" t="inlineStr">
        <is>
          <t>Atta Ul Mustafa Saad</t>
        </is>
      </c>
      <c r="C53" s="16" t="inlineStr">
        <is>
          <t>Greta Grove</t>
        </is>
      </c>
      <c r="D53" s="17" t="inlineStr">
        <is>
          <t>Aluvo Sample Books</t>
        </is>
      </c>
      <c r="E53" s="17" t="inlineStr">
        <is>
          <t>Reworking the Aluvo sample book to new dimensions.</t>
        </is>
      </c>
      <c r="F53" s="16" t="inlineStr">
        <is>
          <t>todo</t>
        </is>
      </c>
      <c r="G53" s="18" t="n">
        <v>0.1847222222222222</v>
      </c>
      <c r="H53" s="18" t="n">
        <v>0</v>
      </c>
      <c r="I53" s="18">
        <f>G53+H53</f>
        <v/>
      </c>
      <c r="J53" s="18" t="n">
        <v>0.1833333333333333</v>
      </c>
      <c r="K53" s="19">
        <f>IF(J53&gt;=I53,"+","-")&amp;TEXT(ABS(J53-I53),"[h]""h"" mm""m""")</f>
        <v/>
      </c>
    </row>
    <row r="54">
      <c r="A54" s="16" t="inlineStr">
        <is>
          <t>Wk6  07 Sep–13 Sep</t>
        </is>
      </c>
      <c r="B54" s="16" t="inlineStr">
        <is>
          <t>Atta Ul Mustafa Saad</t>
        </is>
      </c>
      <c r="C54" s="16" t="inlineStr">
        <is>
          <t>Neowall</t>
        </is>
      </c>
      <c r="D54" s="17" t="inlineStr">
        <is>
          <t>Indoor Product Ads  (Winter Push)</t>
        </is>
      </c>
      <c r="E54" s="17" t="inlineStr">
        <is>
          <t>Ad creatives for the winter indoor-product campaign.</t>
        </is>
      </c>
      <c r="F54" s="16" t="inlineStr">
        <is>
          <t>approved</t>
        </is>
      </c>
      <c r="G54" s="18" t="n">
        <v>0.4284722222222222</v>
      </c>
      <c r="H54" s="18" t="n">
        <v>0</v>
      </c>
      <c r="I54" s="18">
        <f>G54+H54</f>
        <v/>
      </c>
      <c r="J54" s="18" t="n">
        <v>0.4375</v>
      </c>
      <c r="K54" s="19">
        <f>IF(J54&gt;=I54,"+","-")&amp;TEXT(ABS(J54-I54),"[h]""h"" mm""m""")</f>
        <v/>
      </c>
    </row>
    <row r="55">
      <c r="A55" s="16" t="inlineStr">
        <is>
          <t>Wk6  07 Sep–13 Sep</t>
        </is>
      </c>
      <c r="B55" s="16" t="inlineStr">
        <is>
          <t>Atta Ul Mustafa Saad</t>
        </is>
      </c>
      <c r="C55" s="16" t="inlineStr">
        <is>
          <t>Greta Grove</t>
        </is>
      </c>
      <c r="D55" s="17" t="inlineStr">
        <is>
          <t>Packaging for Wide Plank SPC Flooring</t>
        </is>
      </c>
      <c r="E55" s="17" t="inlineStr">
        <is>
          <t>Designing premium packaging artwork for wide-plank SPC flooring.</t>
        </is>
      </c>
      <c r="F55" s="16" t="inlineStr">
        <is>
          <t>in_progress</t>
        </is>
      </c>
      <c r="G55" s="18" t="n">
        <v>0</v>
      </c>
      <c r="H55" s="18" t="n">
        <v>0</v>
      </c>
      <c r="I55" s="18">
        <f>G55+H55</f>
        <v/>
      </c>
      <c r="J55" s="18" t="n">
        <v>0.1354166666666667</v>
      </c>
      <c r="K55" s="19">
        <f>IF(J55&gt;=I55,"+","-")&amp;TEXT(ABS(J55-I55),"[h]""h"" mm""m""")</f>
        <v/>
      </c>
    </row>
    <row r="56">
      <c r="A56" s="16" t="inlineStr">
        <is>
          <t>Wk6  07 Sep–13 Sep</t>
        </is>
      </c>
      <c r="B56" s="16" t="inlineStr">
        <is>
          <t>Atta Ul Mustafa Saad</t>
        </is>
      </c>
      <c r="C56" s="16" t="inlineStr">
        <is>
          <t>Greta Grove</t>
        </is>
      </c>
      <c r="D56" s="17" t="inlineStr">
        <is>
          <t>SPC stand mokcup</t>
        </is>
      </c>
      <c r="E56" s="17" t="inlineStr">
        <is>
          <t>Creating a display-stand mockup, sourced or AI-generated.</t>
        </is>
      </c>
      <c r="F56" s="16" t="inlineStr">
        <is>
          <t>blocked</t>
        </is>
      </c>
      <c r="G56" s="18" t="n">
        <v>0.2326388888888889</v>
      </c>
      <c r="H56" s="18" t="n">
        <v>0</v>
      </c>
      <c r="I56" s="18">
        <f>G56+H56</f>
        <v/>
      </c>
      <c r="J56" s="18" t="n">
        <v>0.1715277777777778</v>
      </c>
      <c r="K56" s="19">
        <f>IF(J56&gt;=I56,"+","-")&amp;TEXT(ABS(J56-I56),"[h]""h"" mm""m""")</f>
        <v/>
      </c>
    </row>
    <row r="57">
      <c r="A57" s="16" t="inlineStr">
        <is>
          <t>Wk6  07 Sep–13 Sep</t>
        </is>
      </c>
      <c r="B57" s="16" t="inlineStr">
        <is>
          <t>Atta Ul Mustafa Saad</t>
        </is>
      </c>
      <c r="C57" s="16" t="inlineStr">
        <is>
          <t>Greta Grove</t>
        </is>
      </c>
      <c r="D57" s="17" t="inlineStr">
        <is>
          <t>Sample Boxes mockup</t>
        </is>
      </c>
      <c r="E57" s="17" t="inlineStr">
        <is>
          <t>Mockups of all sample boxes and books, Greta Grove first.</t>
        </is>
      </c>
      <c r="F57" s="16" t="inlineStr">
        <is>
          <t>approved</t>
        </is>
      </c>
      <c r="G57" s="18" t="n">
        <v>0.3520833333333334</v>
      </c>
      <c r="H57" s="18" t="n">
        <v>0</v>
      </c>
      <c r="I57" s="18">
        <f>G57+H57</f>
        <v/>
      </c>
      <c r="J57" s="18" t="n">
        <v>0.3215277777777778</v>
      </c>
      <c r="K57" s="19">
        <f>IF(J57&gt;=I57,"+","-")&amp;TEXT(ABS(J57-I57),"[h]""h"" mm""m""")</f>
        <v/>
      </c>
    </row>
    <row r="58">
      <c r="A58" s="16" t="inlineStr">
        <is>
          <t>Wk6  07 Sep–13 Sep</t>
        </is>
      </c>
      <c r="B58" s="16" t="inlineStr">
        <is>
          <t>Atta Ul Mustafa Saad</t>
        </is>
      </c>
      <c r="C58" s="16" t="inlineStr">
        <is>
          <t>Linknbit</t>
        </is>
      </c>
      <c r="D58" s="17" t="inlineStr">
        <is>
          <t>Social Media Post Design</t>
        </is>
      </c>
      <c r="E58" s="17" t="inlineStr">
        <is>
          <t>Designing our own social posts from the content sheet.</t>
        </is>
      </c>
      <c r="F58" s="16" t="inlineStr">
        <is>
          <t>todo</t>
        </is>
      </c>
      <c r="G58" s="18" t="n">
        <v>0.2715277777777778</v>
      </c>
      <c r="H58" s="18" t="n">
        <v>0.04166666666666666</v>
      </c>
      <c r="I58" s="18">
        <f>G58+H58</f>
        <v/>
      </c>
      <c r="J58" s="18" t="n">
        <v>0.2569444444444444</v>
      </c>
      <c r="K58" s="19">
        <f>IF(J58&gt;=I58,"+","-")&amp;TEXT(ABS(J58-I58),"[h]""h"" mm""m""")</f>
        <v/>
      </c>
    </row>
    <row r="59">
      <c r="A59" s="16" t="inlineStr">
        <is>
          <t>Wk6  07 Sep–13 Sep</t>
        </is>
      </c>
      <c r="B59" s="16" t="inlineStr">
        <is>
          <t>Atta Ul Mustafa Saad</t>
        </is>
      </c>
      <c r="C59" s="16" t="inlineStr">
        <is>
          <t>Linknbit</t>
        </is>
      </c>
      <c r="D59" s="17" t="inlineStr">
        <is>
          <t>Website Design</t>
        </is>
      </c>
      <c r="E59" s="17" t="inlineStr">
        <is>
          <t>Designing the new Linknbit company website.</t>
        </is>
      </c>
      <c r="F59" s="16" t="inlineStr">
        <is>
          <t>review</t>
        </is>
      </c>
      <c r="G59" s="18" t="n">
        <v>0.009027777777777777</v>
      </c>
      <c r="H59" s="18" t="n">
        <v>0</v>
      </c>
      <c r="I59" s="18">
        <f>G59+H59</f>
        <v/>
      </c>
      <c r="J59" s="18" t="n">
        <v>0.009027777777777777</v>
      </c>
      <c r="K59" s="19">
        <f>IF(J59&gt;=I59,"+","-")&amp;TEXT(ABS(J59-I59),"[h]""h"" mm""m""")</f>
        <v/>
      </c>
    </row>
    <row r="60">
      <c r="A60" s="16" t="inlineStr">
        <is>
          <t>Wk6  07 Sep–13 Sep</t>
        </is>
      </c>
      <c r="B60" s="16" t="inlineStr">
        <is>
          <t>Maaz Tareen</t>
        </is>
      </c>
      <c r="C60" s="16" t="inlineStr">
        <is>
          <t>Zedan</t>
        </is>
      </c>
      <c r="D60" s="17" t="inlineStr">
        <is>
          <t>Ad creative All over Pakistan</t>
        </is>
      </c>
      <c r="E60" s="17" t="inlineStr">
        <is>
          <t>Nationwide clearance-sale ad creatives.</t>
        </is>
      </c>
      <c r="F60" s="16" t="inlineStr">
        <is>
          <t>approved</t>
        </is>
      </c>
      <c r="G60" s="18" t="n">
        <v>0.1965277777777778</v>
      </c>
      <c r="H60" s="18" t="n">
        <v>0</v>
      </c>
      <c r="I60" s="18">
        <f>G60+H60</f>
        <v/>
      </c>
      <c r="J60" s="18" t="n">
        <v>0.1965277777777778</v>
      </c>
      <c r="K60" s="19">
        <f>IF(J60&gt;=I60,"+","-")&amp;TEXT(ABS(J60-I60),"[h]""h"" mm""m""")</f>
        <v/>
      </c>
    </row>
    <row r="61">
      <c r="A61" s="16" t="inlineStr">
        <is>
          <t>Wk6  07 Sep–13 Sep</t>
        </is>
      </c>
      <c r="B61" s="16" t="inlineStr">
        <is>
          <t>Maaz Tareen</t>
        </is>
      </c>
      <c r="C61" s="16" t="inlineStr">
        <is>
          <t>Linknbit</t>
        </is>
      </c>
      <c r="D61" s="17" t="inlineStr">
        <is>
          <t>Footer design + Remaining linknbit page</t>
        </is>
      </c>
      <c r="E61" s="17" t="inlineStr">
        <is>
          <t>Designing the footer and the remaining site pages.</t>
        </is>
      </c>
      <c r="F61" s="16" t="inlineStr">
        <is>
          <t>approved</t>
        </is>
      </c>
      <c r="G61" s="18" t="n">
        <v>0.07361111111111111</v>
      </c>
      <c r="H61" s="18" t="n">
        <v>0</v>
      </c>
      <c r="I61" s="18">
        <f>G61+H61</f>
        <v/>
      </c>
      <c r="J61" s="18" t="n">
        <v>0.07291666666666667</v>
      </c>
      <c r="K61" s="19">
        <f>IF(J61&gt;=I61,"+","-")&amp;TEXT(ABS(J61-I61),"[h]""h"" mm""m""")</f>
        <v/>
      </c>
    </row>
    <row r="62">
      <c r="A62" s="16" t="inlineStr">
        <is>
          <t>Wk6  07 Sep–13 Sep</t>
        </is>
      </c>
      <c r="B62" s="16" t="inlineStr">
        <is>
          <t>Maaz Tareen</t>
        </is>
      </c>
      <c r="C62" s="16" t="inlineStr">
        <is>
          <t>Linknbit</t>
        </is>
      </c>
      <c r="D62" s="17" t="inlineStr">
        <is>
          <t>New Hiring Post</t>
        </is>
      </c>
      <c r="E62" s="17" t="inlineStr">
        <is>
          <t>Designing a post to recruit two design interns.</t>
        </is>
      </c>
      <c r="F62" s="16" t="inlineStr">
        <is>
          <t>approved</t>
        </is>
      </c>
      <c r="G62" s="18" t="n">
        <v>0.03333333333333333</v>
      </c>
      <c r="H62" s="18" t="n">
        <v>0</v>
      </c>
      <c r="I62" s="18">
        <f>G62+H62</f>
        <v/>
      </c>
      <c r="J62" s="18" t="n">
        <v>0.02777777777777778</v>
      </c>
      <c r="K62" s="19">
        <f>IF(J62&gt;=I62,"+","-")&amp;TEXT(ABS(J62-I62),"[h]""h"" mm""m""")</f>
        <v/>
      </c>
    </row>
    <row r="63">
      <c r="A63" s="16" t="inlineStr">
        <is>
          <t>Wk6  07 Sep–13 Sep</t>
        </is>
      </c>
      <c r="B63" s="16" t="inlineStr">
        <is>
          <t>Maaz Tareen</t>
        </is>
      </c>
      <c r="C63" s="16" t="inlineStr">
        <is>
          <t>Academix Mentor</t>
        </is>
      </c>
      <c r="D63" s="17" t="inlineStr">
        <is>
          <t>Post Design</t>
        </is>
      </c>
      <c r="E63" s="17" t="inlineStr">
        <is>
          <t>Designing social posts from the client's content calendar.</t>
        </is>
      </c>
      <c r="F63" s="16" t="inlineStr">
        <is>
          <t>in_progress</t>
        </is>
      </c>
      <c r="G63" s="18" t="n">
        <v>0.3701388888888889</v>
      </c>
      <c r="H63" s="18" t="n">
        <v>0</v>
      </c>
      <c r="I63" s="18">
        <f>G63+H63</f>
        <v/>
      </c>
      <c r="J63" s="18" t="n">
        <v>0.35625</v>
      </c>
      <c r="K63" s="19">
        <f>IF(J63&gt;=I63,"+","-")&amp;TEXT(ABS(J63-I63),"[h]""h"" mm""m""")</f>
        <v/>
      </c>
    </row>
    <row r="64">
      <c r="A64" s="16" t="inlineStr">
        <is>
          <t>Wk6  07 Sep–13 Sep</t>
        </is>
      </c>
      <c r="B64" s="16" t="inlineStr">
        <is>
          <t>Maaz Tareen</t>
        </is>
      </c>
      <c r="C64" s="16" t="inlineStr">
        <is>
          <t>MAQx</t>
        </is>
      </c>
      <c r="D64" s="17" t="inlineStr">
        <is>
          <t>Post designs</t>
        </is>
      </c>
      <c r="E64" s="17" t="inlineStr">
        <is>
          <t>Designing social media posts from the content calendar.</t>
        </is>
      </c>
      <c r="F64" s="16" t="inlineStr">
        <is>
          <t>todo</t>
        </is>
      </c>
      <c r="G64" s="18" t="n">
        <v>0.2590277777777778</v>
      </c>
      <c r="H64" s="18" t="n">
        <v>0</v>
      </c>
      <c r="I64" s="18">
        <f>G64+H64</f>
        <v/>
      </c>
      <c r="J64" s="18" t="n">
        <v>0.2840277777777778</v>
      </c>
      <c r="K64" s="19">
        <f>IF(J64&gt;=I64,"+","-")&amp;TEXT(ABS(J64-I64),"[h]""h"" mm""m""")</f>
        <v/>
      </c>
    </row>
    <row r="65">
      <c r="A65" s="16" t="inlineStr">
        <is>
          <t>Wk6  07 Sep–13 Sep</t>
        </is>
      </c>
      <c r="B65" s="16" t="inlineStr">
        <is>
          <t>Maaz Tareen</t>
        </is>
      </c>
      <c r="C65" s="16" t="inlineStr">
        <is>
          <t>Linknbit</t>
        </is>
      </c>
      <c r="D65" s="17" t="inlineStr">
        <is>
          <t>Social Media Post Design</t>
        </is>
      </c>
      <c r="E65" s="17" t="inlineStr">
        <is>
          <t>Designing our own social posts from the content sheet.</t>
        </is>
      </c>
      <c r="F65" s="16" t="inlineStr">
        <is>
          <t>todo</t>
        </is>
      </c>
      <c r="G65" s="18" t="n">
        <v>0.6861111111111111</v>
      </c>
      <c r="H65" s="18" t="n">
        <v>0.03819444444444445</v>
      </c>
      <c r="I65" s="18">
        <f>G65+H65</f>
        <v/>
      </c>
      <c r="J65" s="18" t="n">
        <v>0.7291666666666666</v>
      </c>
      <c r="K65" s="19">
        <f>IF(J65&gt;=I65,"+","-")&amp;TEXT(ABS(J65-I65),"[h]""h"" mm""m""")</f>
        <v/>
      </c>
    </row>
    <row r="66">
      <c r="A66" s="16" t="inlineStr">
        <is>
          <t>Wk6  07 Sep–13 Sep</t>
        </is>
      </c>
      <c r="B66" s="16" t="inlineStr">
        <is>
          <t>Mahnoor</t>
        </is>
      </c>
      <c r="C66" s="16" t="inlineStr">
        <is>
          <t>Neowall</t>
        </is>
      </c>
      <c r="D66" s="17" t="inlineStr">
        <is>
          <t>Website UX Review</t>
        </is>
      </c>
      <c r="E66" s="17" t="inlineStr">
        <is>
          <t>Reviewing the site's user experience and giving feedback.</t>
        </is>
      </c>
      <c r="F66" s="16" t="inlineStr">
        <is>
          <t>in_progress</t>
        </is>
      </c>
      <c r="G66" s="18" t="n">
        <v>0.01597222222222222</v>
      </c>
      <c r="H66" s="18" t="n">
        <v>0</v>
      </c>
      <c r="I66" s="18">
        <f>G66+H66</f>
        <v/>
      </c>
      <c r="J66" s="18" t="n">
        <v>0</v>
      </c>
      <c r="K66" s="19">
        <f>IF(J66&gt;=I66,"+","-")&amp;TEXT(ABS(J66-I66),"[h]""h"" mm""m""")</f>
        <v/>
      </c>
    </row>
    <row r="67">
      <c r="A67" s="16" t="inlineStr">
        <is>
          <t>Wk7  14 Sep–20 Sep</t>
        </is>
      </c>
      <c r="B67" s="16" t="inlineStr">
        <is>
          <t>Abbas Khan</t>
        </is>
      </c>
      <c r="C67" s="16" t="inlineStr">
        <is>
          <t>Titan Forge</t>
        </is>
      </c>
      <c r="D67" s="17" t="inlineStr">
        <is>
          <t>Design Improvements</t>
        </is>
      </c>
      <c r="E67" s="17" t="inlineStr">
        <is>
          <t>Improving the visual design across the whole site.</t>
        </is>
      </c>
      <c r="F67" s="16" t="inlineStr">
        <is>
          <t>review</t>
        </is>
      </c>
      <c r="G67" s="18" t="n">
        <v>0.2451388888888889</v>
      </c>
      <c r="H67" s="18" t="n">
        <v>0</v>
      </c>
      <c r="I67" s="18">
        <f>G67+H67</f>
        <v/>
      </c>
      <c r="J67" s="18" t="n">
        <v>0.2819444444444444</v>
      </c>
      <c r="K67" s="19">
        <f>IF(J67&gt;=I67,"+","-")&amp;TEXT(ABS(J67-I67),"[h]""h"" mm""m""")</f>
        <v/>
      </c>
    </row>
    <row r="68">
      <c r="A68" s="16" t="inlineStr">
        <is>
          <t>Wk7  14 Sep–20 Sep</t>
        </is>
      </c>
      <c r="B68" s="16" t="inlineStr">
        <is>
          <t>Atta Ul Mustafa Saad</t>
        </is>
      </c>
      <c r="C68" s="16" t="inlineStr">
        <is>
          <t>Greta Grove</t>
        </is>
      </c>
      <c r="D68" s="17" t="inlineStr">
        <is>
          <t>Ad Creatives</t>
        </is>
      </c>
      <c r="E68" s="17" t="inlineStr">
        <is>
          <t>Google Ads drafts and switcher creatives.</t>
        </is>
      </c>
      <c r="F68" s="16" t="inlineStr">
        <is>
          <t>review</t>
        </is>
      </c>
      <c r="G68" s="18" t="n">
        <v>0.02013888888888889</v>
      </c>
      <c r="H68" s="18" t="n">
        <v>0</v>
      </c>
      <c r="I68" s="18">
        <f>G68+H68</f>
        <v/>
      </c>
      <c r="J68" s="18" t="n">
        <v>0</v>
      </c>
      <c r="K68" s="19">
        <f>IF(J68&gt;=I68,"+","-")&amp;TEXT(ABS(J68-I68),"[h]""h"" mm""m""")</f>
        <v/>
      </c>
    </row>
    <row r="69">
      <c r="A69" s="16" t="inlineStr">
        <is>
          <t>Wk7  14 Sep–20 Sep</t>
        </is>
      </c>
      <c r="B69" s="16" t="inlineStr">
        <is>
          <t>Atta Ul Mustafa Saad</t>
        </is>
      </c>
      <c r="C69" s="16" t="inlineStr">
        <is>
          <t>Linknbit</t>
        </is>
      </c>
      <c r="D69" s="17" t="inlineStr">
        <is>
          <t>Case Studies Design</t>
        </is>
      </c>
      <c r="E69" s="17" t="inlineStr">
        <is>
          <t>Designing the case-study pages for our own marketing.</t>
        </is>
      </c>
      <c r="F69" s="16" t="inlineStr">
        <is>
          <t>in_progress</t>
        </is>
      </c>
      <c r="G69" s="18" t="n">
        <v>0.05902777777777778</v>
      </c>
      <c r="H69" s="18" t="n">
        <v>0</v>
      </c>
      <c r="I69" s="18">
        <f>G69+H69</f>
        <v/>
      </c>
      <c r="J69" s="18" t="n">
        <v>0</v>
      </c>
      <c r="K69" s="19">
        <f>IF(J69&gt;=I69,"+","-")&amp;TEXT(ABS(J69-I69),"[h]""h"" mm""m""")</f>
        <v/>
      </c>
    </row>
    <row r="70">
      <c r="A70" s="16" t="inlineStr">
        <is>
          <t>Wk7  14 Sep–20 Sep</t>
        </is>
      </c>
      <c r="B70" s="16" t="inlineStr">
        <is>
          <t>Atta Ul Mustafa Saad</t>
        </is>
      </c>
      <c r="C70" s="16" t="inlineStr">
        <is>
          <t>Neowall</t>
        </is>
      </c>
      <c r="D70" s="17" t="inlineStr">
        <is>
          <t>Indoor Product Ads  (Winter Push)</t>
        </is>
      </c>
      <c r="E70" s="17" t="inlineStr">
        <is>
          <t>Ad creatives for the winter indoor-product campaign.</t>
        </is>
      </c>
      <c r="F70" s="16" t="inlineStr">
        <is>
          <t>approved</t>
        </is>
      </c>
      <c r="G70" s="18" t="n">
        <v>0.1361111111111111</v>
      </c>
      <c r="H70" s="18" t="n">
        <v>0</v>
      </c>
      <c r="I70" s="18">
        <f>G70+H70</f>
        <v/>
      </c>
      <c r="J70" s="18" t="n">
        <v>0.1298611111111111</v>
      </c>
      <c r="K70" s="19">
        <f>IF(J70&gt;=I70,"+","-")&amp;TEXT(ABS(J70-I70),"[h]""h"" mm""m""")</f>
        <v/>
      </c>
    </row>
    <row r="71">
      <c r="A71" s="16" t="inlineStr">
        <is>
          <t>Wk7  14 Sep–20 Sep</t>
        </is>
      </c>
      <c r="B71" s="16" t="inlineStr">
        <is>
          <t>Atta Ul Mustafa Saad</t>
        </is>
      </c>
      <c r="C71" s="16" t="inlineStr">
        <is>
          <t>Greta Grove</t>
        </is>
      </c>
      <c r="D71" s="17" t="inlineStr">
        <is>
          <t>Packaging for Wide Plank SPC Flooring</t>
        </is>
      </c>
      <c r="E71" s="17" t="inlineStr">
        <is>
          <t>Designing premium packaging artwork for wide-plank SPC flooring.</t>
        </is>
      </c>
      <c r="F71" s="16" t="inlineStr">
        <is>
          <t>in_progress</t>
        </is>
      </c>
      <c r="G71" s="18" t="n">
        <v>1.349305555555556</v>
      </c>
      <c r="H71" s="18" t="n">
        <v>0</v>
      </c>
      <c r="I71" s="18">
        <f>G71+H71</f>
        <v/>
      </c>
      <c r="J71" s="18" t="n">
        <v>0.2034722222222222</v>
      </c>
      <c r="K71" s="19">
        <f>IF(J71&gt;=I71,"+","-")&amp;TEXT(ABS(J71-I71),"[h]""h"" mm""m""")</f>
        <v/>
      </c>
    </row>
    <row r="72">
      <c r="A72" s="16" t="inlineStr">
        <is>
          <t>Wk7  14 Sep–20 Sep</t>
        </is>
      </c>
      <c r="B72" s="16" t="inlineStr">
        <is>
          <t>Atta Ul Mustafa Saad</t>
        </is>
      </c>
      <c r="C72" s="16" t="inlineStr">
        <is>
          <t>MAQx</t>
        </is>
      </c>
      <c r="D72" s="17" t="inlineStr">
        <is>
          <t>Post designs</t>
        </is>
      </c>
      <c r="E72" s="17" t="inlineStr">
        <is>
          <t>Designing social media posts from the content calendar.</t>
        </is>
      </c>
      <c r="F72" s="16" t="inlineStr">
        <is>
          <t>todo</t>
        </is>
      </c>
      <c r="G72" s="18" t="n">
        <v>0.3881944444444445</v>
      </c>
      <c r="H72" s="18" t="n">
        <v>0</v>
      </c>
      <c r="I72" s="18">
        <f>G72+H72</f>
        <v/>
      </c>
      <c r="J72" s="18" t="n">
        <v>0.07222222222222222</v>
      </c>
      <c r="K72" s="19">
        <f>IF(J72&gt;=I72,"+","-")&amp;TEXT(ABS(J72-I72),"[h]""h"" mm""m""")</f>
        <v/>
      </c>
    </row>
    <row r="73">
      <c r="A73" s="16" t="inlineStr">
        <is>
          <t>Wk7  14 Sep–20 Sep</t>
        </is>
      </c>
      <c r="B73" s="16" t="inlineStr">
        <is>
          <t>Atta Ul Mustafa Saad</t>
        </is>
      </c>
      <c r="C73" s="16" t="inlineStr">
        <is>
          <t>Greta Grove</t>
        </is>
      </c>
      <c r="D73" s="17" t="inlineStr">
        <is>
          <t>SPC stand mokcup</t>
        </is>
      </c>
      <c r="E73" s="17" t="inlineStr">
        <is>
          <t>Creating a display-stand mockup, sourced or AI-generated.</t>
        </is>
      </c>
      <c r="F73" s="16" t="inlineStr">
        <is>
          <t>blocked</t>
        </is>
      </c>
      <c r="G73" s="18" t="n">
        <v>0.03611111111111111</v>
      </c>
      <c r="H73" s="18" t="n">
        <v>0</v>
      </c>
      <c r="I73" s="18">
        <f>G73+H73</f>
        <v/>
      </c>
      <c r="J73" s="18" t="n">
        <v>0.03541666666666667</v>
      </c>
      <c r="K73" s="19">
        <f>IF(J73&gt;=I73,"+","-")&amp;TEXT(ABS(J73-I73),"[h]""h"" mm""m""")</f>
        <v/>
      </c>
    </row>
    <row r="74">
      <c r="A74" s="16" t="inlineStr">
        <is>
          <t>Wk7  14 Sep–20 Sep</t>
        </is>
      </c>
      <c r="B74" s="16" t="inlineStr">
        <is>
          <t>Atta Ul Mustafa Saad</t>
        </is>
      </c>
      <c r="C74" s="16" t="inlineStr">
        <is>
          <t>Linknbit</t>
        </is>
      </c>
      <c r="D74" s="17" t="inlineStr">
        <is>
          <t>Website Design</t>
        </is>
      </c>
      <c r="E74" s="17" t="inlineStr">
        <is>
          <t>Designing the new Linknbit company website.</t>
        </is>
      </c>
      <c r="F74" s="16" t="inlineStr">
        <is>
          <t>review</t>
        </is>
      </c>
      <c r="G74" s="18" t="n">
        <v>0.2256944444444444</v>
      </c>
      <c r="H74" s="18" t="n">
        <v>0</v>
      </c>
      <c r="I74" s="18">
        <f>G74+H74</f>
        <v/>
      </c>
      <c r="J74" s="18" t="n">
        <v>0.2256944444444444</v>
      </c>
      <c r="K74" s="19">
        <f>IF(J74&gt;=I74,"+","-")&amp;TEXT(ABS(J74-I74),"[h]""h"" mm""m""")</f>
        <v/>
      </c>
    </row>
    <row r="75">
      <c r="A75" s="16" t="inlineStr">
        <is>
          <t>Wk7  14 Sep–20 Sep</t>
        </is>
      </c>
      <c r="B75" s="16" t="inlineStr">
        <is>
          <t>Maaz Tareen</t>
        </is>
      </c>
      <c r="C75" s="16" t="inlineStr">
        <is>
          <t>MAQx</t>
        </is>
      </c>
      <c r="D75" s="17" t="inlineStr">
        <is>
          <t>Design Ad Campaigns</t>
        </is>
      </c>
      <c r="E75" s="17" t="inlineStr">
        <is>
          <t>Creating the ad campaign creatives.</t>
        </is>
      </c>
      <c r="F75" s="16" t="inlineStr">
        <is>
          <t>review</t>
        </is>
      </c>
      <c r="G75" s="18" t="n">
        <v>0.2444444444444444</v>
      </c>
      <c r="H75" s="18" t="n">
        <v>0</v>
      </c>
      <c r="I75" s="18">
        <f>G75+H75</f>
        <v/>
      </c>
      <c r="J75" s="18" t="n">
        <v>0.1180555555555556</v>
      </c>
      <c r="K75" s="19">
        <f>IF(J75&gt;=I75,"+","-")&amp;TEXT(ABS(J75-I75),"[h]""h"" mm""m""")</f>
        <v/>
      </c>
    </row>
    <row r="76">
      <c r="A76" s="16" t="inlineStr">
        <is>
          <t>Wk7  14 Sep–20 Sep</t>
        </is>
      </c>
      <c r="B76" s="16" t="inlineStr">
        <is>
          <t>Maaz Tareen</t>
        </is>
      </c>
      <c r="C76" s="16" t="inlineStr">
        <is>
          <t>Academix Mentor</t>
        </is>
      </c>
      <c r="D76" s="17" t="inlineStr">
        <is>
          <t>Post Design</t>
        </is>
      </c>
      <c r="E76" s="17" t="inlineStr">
        <is>
          <t>Designing social posts from the client's content calendar.</t>
        </is>
      </c>
      <c r="F76" s="16" t="inlineStr">
        <is>
          <t>in_progress</t>
        </is>
      </c>
      <c r="G76" s="18" t="n">
        <v>0.2472222222222222</v>
      </c>
      <c r="H76" s="18" t="n">
        <v>0</v>
      </c>
      <c r="I76" s="18">
        <f>G76+H76</f>
        <v/>
      </c>
      <c r="J76" s="18" t="n">
        <v>0.2270833333333333</v>
      </c>
      <c r="K76" s="19">
        <f>IF(J76&gt;=I76,"+","-")&amp;TEXT(ABS(J76-I76),"[h]""h"" mm""m""")</f>
        <v/>
      </c>
    </row>
    <row r="77">
      <c r="A77" s="16" t="inlineStr">
        <is>
          <t>Wk7  14 Sep–20 Sep</t>
        </is>
      </c>
      <c r="B77" s="16" t="inlineStr">
        <is>
          <t>Maaz Tareen</t>
        </is>
      </c>
      <c r="C77" s="16" t="inlineStr">
        <is>
          <t>MAQx</t>
        </is>
      </c>
      <c r="D77" s="17" t="inlineStr">
        <is>
          <t>Post designs</t>
        </is>
      </c>
      <c r="E77" s="17" t="inlineStr">
        <is>
          <t>Designing social media posts from the content calendar.</t>
        </is>
      </c>
      <c r="F77" s="16" t="inlineStr">
        <is>
          <t>todo</t>
        </is>
      </c>
      <c r="G77" s="18" t="n">
        <v>0.4513888888888889</v>
      </c>
      <c r="H77" s="18" t="n">
        <v>0</v>
      </c>
      <c r="I77" s="18">
        <f>G77+H77</f>
        <v/>
      </c>
      <c r="J77" s="18" t="n">
        <v>0.4465277777777778</v>
      </c>
      <c r="K77" s="19">
        <f>IF(J77&gt;=I77,"+","-")&amp;TEXT(ABS(J77-I77),"[h]""h"" mm""m""")</f>
        <v/>
      </c>
    </row>
    <row r="78">
      <c r="A78" s="16" t="inlineStr">
        <is>
          <t>Wk7  14 Sep–20 Sep</t>
        </is>
      </c>
      <c r="B78" s="16" t="inlineStr">
        <is>
          <t>Maaz Tareen</t>
        </is>
      </c>
      <c r="C78" s="16" t="inlineStr">
        <is>
          <t>Linknbit</t>
        </is>
      </c>
      <c r="D78" s="17" t="inlineStr">
        <is>
          <t>Website Design</t>
        </is>
      </c>
      <c r="E78" s="17" t="inlineStr">
        <is>
          <t>Designing the new Linknbit company website.</t>
        </is>
      </c>
      <c r="F78" s="16" t="inlineStr">
        <is>
          <t>review</t>
        </is>
      </c>
      <c r="G78" s="18" t="n">
        <v>0.2319444444444445</v>
      </c>
      <c r="H78" s="18" t="n">
        <v>0</v>
      </c>
      <c r="I78" s="18">
        <f>G78+H78</f>
        <v/>
      </c>
      <c r="J78" s="18" t="n">
        <v>0.2083333333333333</v>
      </c>
      <c r="K78" s="19">
        <f>IF(J78&gt;=I78,"+","-")&amp;TEXT(ABS(J78-I78),"[h]""h"" mm""m""")</f>
        <v/>
      </c>
    </row>
    <row r="79">
      <c r="A79" s="20" t="n"/>
      <c r="B79" s="20" t="n"/>
      <c r="C79" s="20" t="n"/>
      <c r="D79" s="20" t="inlineStr">
        <is>
          <t>TOTAL</t>
        </is>
      </c>
      <c r="E79" s="20" t="n"/>
      <c r="F79" s="20" t="n"/>
      <c r="G79" s="21">
        <f>SUM(G4:G78)</f>
        <v/>
      </c>
      <c r="H79" s="21">
        <f>SUM(H4:H78)</f>
        <v/>
      </c>
      <c r="I79" s="21">
        <f>SUM(I4:I78)</f>
        <v/>
      </c>
      <c r="J79" s="21">
        <f>SUM(J4:J78)</f>
        <v/>
      </c>
      <c r="K79" s="22">
        <f>IF(J79&gt;=I79,"+","-")&amp;TEXT(ABS(J79-I79),"[h]""h"" mm""m""")</f>
        <v/>
      </c>
    </row>
  </sheetData>
  <autoFilter ref="A3:K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4" customWidth="1" min="4" max="4"/>
    <col width="54" customWidth="1" min="5" max="5"/>
    <col width="12" customWidth="1" min="6" max="6"/>
    <col width="9" customWidth="1" min="7" max="7"/>
    <col width="9" customWidth="1" min="8" max="8"/>
    <col width="11" customWidth="1" min="9" max="9"/>
    <col width="10" customWidth="1" min="10" max="10"/>
    <col width="11" customWidth="1" min="11" max="11"/>
  </cols>
  <sheetData>
    <row r="1">
      <c r="A1" s="6" t="inlineStr">
        <is>
          <t>Marketing — task detail by week</t>
        </is>
      </c>
    </row>
    <row r="3" ht="30" customHeight="1">
      <c r="A3" s="7" t="inlineStr">
        <is>
          <t>Week</t>
        </is>
      </c>
      <c r="B3" s="7" t="inlineStr">
        <is>
          <t>Developer</t>
        </is>
      </c>
      <c r="C3" s="7" t="inlineStr">
        <is>
          <t>Project</t>
        </is>
      </c>
      <c r="D3" s="7" t="inlineStr">
        <is>
          <t>Task</t>
        </is>
      </c>
      <c r="E3" s="7" t="inlineStr">
        <is>
          <t>What it means (plain English)</t>
        </is>
      </c>
      <c r="F3" s="7" t="inlineStr">
        <is>
          <t>Status</t>
        </is>
      </c>
      <c r="G3" s="7" t="inlineStr">
        <is>
          <t>Timer h</t>
        </is>
      </c>
      <c r="H3" s="7" t="inlineStr">
        <is>
          <t>Manual h</t>
        </is>
      </c>
      <c r="I3" s="7" t="inlineStr">
        <is>
          <t>Timer total</t>
        </is>
      </c>
      <c r="J3" s="7" t="inlineStr">
        <is>
          <t>Standup h</t>
        </is>
      </c>
      <c r="K3" s="7" t="inlineStr">
        <is>
          <t>Difference</t>
        </is>
      </c>
    </row>
    <row r="4">
      <c r="A4" s="16" t="inlineStr">
        <is>
          <t>Wk2  10 Aug–16 Aug</t>
        </is>
      </c>
      <c r="B4" s="16" t="inlineStr">
        <is>
          <t>Atta Ul Mustafa Saad</t>
        </is>
      </c>
      <c r="C4" s="16" t="inlineStr">
        <is>
          <t>Linknbit</t>
        </is>
      </c>
      <c r="D4" s="17" t="inlineStr">
        <is>
          <t>Independance Day Post Creation</t>
        </is>
      </c>
      <c r="E4" s="17" t="inlineStr">
        <is>
          <t>Independence Day posts using the event content.</t>
        </is>
      </c>
      <c r="F4" s="16" t="inlineStr">
        <is>
          <t>completed</t>
        </is>
      </c>
      <c r="G4" s="18" t="n">
        <v>0</v>
      </c>
      <c r="H4" s="18" t="n">
        <v>0</v>
      </c>
      <c r="I4" s="18">
        <f>G4+H4</f>
        <v/>
      </c>
      <c r="J4" s="18" t="n">
        <v>0.2083333333333333</v>
      </c>
      <c r="K4" s="19">
        <f>IF(J4&gt;=I4,"+","-")&amp;TEXT(ABS(J4-I4),"[h]""h"" mm""m""")</f>
        <v/>
      </c>
    </row>
    <row r="5">
      <c r="A5" s="16" t="inlineStr">
        <is>
          <t>Wk2  10 Aug–16 Aug</t>
        </is>
      </c>
      <c r="B5" s="16" t="inlineStr">
        <is>
          <t>Atta Ul Mustafa Saad</t>
        </is>
      </c>
      <c r="C5" s="16" t="inlineStr">
        <is>
          <t>Neowall</t>
        </is>
      </c>
      <c r="D5" s="17" t="inlineStr">
        <is>
          <t>New Creatives for Ads for next month</t>
        </is>
      </c>
      <c r="E5" s="17" t="inlineStr">
        <is>
          <t>Next month's ad creatives.</t>
        </is>
      </c>
      <c r="F5" s="16" t="inlineStr">
        <is>
          <t>completed</t>
        </is>
      </c>
      <c r="G5" s="18" t="n">
        <v>0</v>
      </c>
      <c r="H5" s="18" t="n">
        <v>0</v>
      </c>
      <c r="I5" s="18">
        <f>G5+H5</f>
        <v/>
      </c>
      <c r="J5" s="18" t="n">
        <v>0.375</v>
      </c>
      <c r="K5" s="19">
        <f>IF(J5&gt;=I5,"+","-")&amp;TEXT(ABS(J5-I5),"[h]""h"" mm""m""")</f>
        <v/>
      </c>
    </row>
    <row r="6">
      <c r="A6" s="16" t="inlineStr">
        <is>
          <t>Wk2  10 Aug–16 Aug</t>
        </is>
      </c>
      <c r="B6" s="16" t="inlineStr">
        <is>
          <t>Atta Ul Mustafa Saad</t>
        </is>
      </c>
      <c r="C6" s="16" t="inlineStr">
        <is>
          <t>Titan Forge</t>
        </is>
      </c>
      <c r="D6" s="17" t="inlineStr">
        <is>
          <t>Social Media Design</t>
        </is>
      </c>
      <c r="E6" s="17" t="inlineStr">
        <is>
          <t>Profile and cover images for Facebook and Instagram.</t>
        </is>
      </c>
      <c r="F6" s="16" t="inlineStr">
        <is>
          <t>completed</t>
        </is>
      </c>
      <c r="G6" s="18" t="n">
        <v>0</v>
      </c>
      <c r="H6" s="18" t="n">
        <v>0</v>
      </c>
      <c r="I6" s="18">
        <f>G6+H6</f>
        <v/>
      </c>
      <c r="J6" s="18" t="n">
        <v>0.1666666666666667</v>
      </c>
      <c r="K6" s="19">
        <f>IF(J6&gt;=I6,"+","-")&amp;TEXT(ABS(J6-I6),"[h]""h"" mm""m""")</f>
        <v/>
      </c>
    </row>
    <row r="7">
      <c r="A7" s="16" t="inlineStr">
        <is>
          <t>Wk2  10 Aug–16 Aug</t>
        </is>
      </c>
      <c r="B7" s="16" t="inlineStr">
        <is>
          <t>Yasir birlas</t>
        </is>
      </c>
      <c r="C7" s="16" t="inlineStr">
        <is>
          <t>Neowall</t>
        </is>
      </c>
      <c r="D7" s="17" t="inlineStr">
        <is>
          <t>Email Flows Design</t>
        </is>
      </c>
      <c r="E7" s="17" t="inlineStr">
        <is>
          <t>Designing automated marketing email sequences.</t>
        </is>
      </c>
      <c r="F7" s="16" t="inlineStr">
        <is>
          <t>completed</t>
        </is>
      </c>
      <c r="G7" s="18" t="n">
        <v>0</v>
      </c>
      <c r="H7" s="18" t="n">
        <v>0</v>
      </c>
      <c r="I7" s="18">
        <f>G7+H7</f>
        <v/>
      </c>
      <c r="J7" s="18" t="n">
        <v>0.1041666666666667</v>
      </c>
      <c r="K7" s="19">
        <f>IF(J7&gt;=I7,"+","-")&amp;TEXT(ABS(J7-I7),"[h]""h"" mm""m""")</f>
        <v/>
      </c>
    </row>
    <row r="8">
      <c r="A8" s="16" t="inlineStr">
        <is>
          <t>Wk3  17 Aug–23 Aug</t>
        </is>
      </c>
      <c r="B8" s="16" t="inlineStr">
        <is>
          <t>Maaz Tareen</t>
        </is>
      </c>
      <c r="C8" s="16" t="inlineStr">
        <is>
          <t>MAQx</t>
        </is>
      </c>
      <c r="D8" s="17" t="inlineStr">
        <is>
          <t>Academix Mentor Content Bucket</t>
        </is>
      </c>
      <c r="E8" s="17" t="inlineStr">
        <is>
          <t>A reusable bank of Academix Mentor content ideas.</t>
        </is>
      </c>
      <c r="F8" s="16" t="inlineStr">
        <is>
          <t>completed</t>
        </is>
      </c>
      <c r="G8" s="18" t="n">
        <v>0</v>
      </c>
      <c r="H8" s="18" t="n">
        <v>0</v>
      </c>
      <c r="I8" s="18">
        <f>G8+H8</f>
        <v/>
      </c>
      <c r="J8" s="18" t="n">
        <v>0.1666666666666667</v>
      </c>
      <c r="K8" s="19">
        <f>IF(J8&gt;=I8,"+","-")&amp;TEXT(ABS(J8-I8),"[h]""h"" mm""m""")</f>
        <v/>
      </c>
    </row>
    <row r="9">
      <c r="A9" s="16" t="inlineStr">
        <is>
          <t>Wk3  17 Aug–23 Aug</t>
        </is>
      </c>
      <c r="B9" s="16" t="inlineStr">
        <is>
          <t>Maaz Tareen</t>
        </is>
      </c>
      <c r="C9" s="16" t="inlineStr">
        <is>
          <t>MAQx</t>
        </is>
      </c>
      <c r="D9" s="17" t="inlineStr">
        <is>
          <t>Maqx Content Plan (for ads and posting)</t>
        </is>
      </c>
      <c r="E9" s="17" t="inlineStr">
        <is>
          <t>Planning MAQx content for ads and organic posting.</t>
        </is>
      </c>
      <c r="F9" s="16" t="inlineStr">
        <is>
          <t>review</t>
        </is>
      </c>
      <c r="G9" s="18" t="n">
        <v>0</v>
      </c>
      <c r="H9" s="18" t="n">
        <v>0</v>
      </c>
      <c r="I9" s="18">
        <f>G9+H9</f>
        <v/>
      </c>
      <c r="J9" s="18" t="n">
        <v>0.1875</v>
      </c>
      <c r="K9" s="19">
        <f>IF(J9&gt;=I9,"+","-")&amp;TEXT(ABS(J9-I9),"[h]""h"" mm""m""")</f>
        <v/>
      </c>
    </row>
    <row r="10">
      <c r="A10" s="16" t="inlineStr">
        <is>
          <t>Wk3  17 Aug–23 Aug</t>
        </is>
      </c>
      <c r="B10" s="16" t="inlineStr">
        <is>
          <t>Maaz Tareen</t>
        </is>
      </c>
      <c r="C10" s="16" t="inlineStr">
        <is>
          <t>MAQx</t>
        </is>
      </c>
      <c r="D10" s="17" t="inlineStr">
        <is>
          <t>Maqx Content bucket</t>
        </is>
      </c>
      <c r="E10" s="17" t="inlineStr">
        <is>
          <t>Building a reusable bank of MAQx content ideas.</t>
        </is>
      </c>
      <c r="F10" s="16" t="inlineStr">
        <is>
          <t>review</t>
        </is>
      </c>
      <c r="G10" s="18" t="n">
        <v>0</v>
      </c>
      <c r="H10" s="18" t="n">
        <v>0</v>
      </c>
      <c r="I10" s="18">
        <f>G10+H10</f>
        <v/>
      </c>
      <c r="J10" s="18" t="n">
        <v>0.2708333333333333</v>
      </c>
      <c r="K10" s="19">
        <f>IF(J10&gt;=I10,"+","-")&amp;TEXT(ABS(J10-I10),"[h]""h"" mm""m""")</f>
        <v/>
      </c>
    </row>
    <row r="11">
      <c r="A11" s="16" t="inlineStr">
        <is>
          <t>Wk3  17 Aug–23 Aug</t>
        </is>
      </c>
      <c r="B11" s="16" t="inlineStr">
        <is>
          <t>Maaz Tareen</t>
        </is>
      </c>
      <c r="C11" s="16" t="inlineStr">
        <is>
          <t>MAQx</t>
        </is>
      </c>
      <c r="D11" s="17" t="inlineStr">
        <is>
          <t>Maqx Reel</t>
        </is>
      </c>
      <c r="E11" s="17" t="inlineStr">
        <is>
          <t>Producing a short video reel about IELTS.</t>
        </is>
      </c>
      <c r="F11" s="16" t="inlineStr">
        <is>
          <t>review</t>
        </is>
      </c>
      <c r="G11" s="18" t="n">
        <v>0</v>
      </c>
      <c r="H11" s="18" t="n">
        <v>0</v>
      </c>
      <c r="I11" s="18">
        <f>G11+H11</f>
        <v/>
      </c>
      <c r="J11" s="18" t="n">
        <v>0.1041666666666667</v>
      </c>
      <c r="K11" s="19">
        <f>IF(J11&gt;=I11,"+","-")&amp;TEXT(ABS(J11-I11),"[h]""h"" mm""m""")</f>
        <v/>
      </c>
    </row>
    <row r="12">
      <c r="A12" s="16" t="inlineStr">
        <is>
          <t>Wk3  17 Aug–23 Aug</t>
        </is>
      </c>
      <c r="B12" s="16" t="inlineStr">
        <is>
          <t>Noor Shahid</t>
        </is>
      </c>
      <c r="C12" s="16" t="inlineStr">
        <is>
          <t>Titan Forge</t>
        </is>
      </c>
      <c r="D12" s="17" t="inlineStr">
        <is>
          <t>Google ad account setup</t>
        </is>
      </c>
      <c r="E12" s="17" t="inlineStr">
        <is>
          <t>Setting up the Google Ads account.</t>
        </is>
      </c>
      <c r="F12" s="16" t="inlineStr">
        <is>
          <t>completed</t>
        </is>
      </c>
      <c r="G12" s="18" t="n">
        <v>0</v>
      </c>
      <c r="H12" s="18" t="n">
        <v>0</v>
      </c>
      <c r="I12" s="18">
        <f>G12+H12</f>
        <v/>
      </c>
      <c r="J12" s="18" t="n">
        <v>0.08333333333333333</v>
      </c>
      <c r="K12" s="19">
        <f>IF(J12&gt;=I12,"+","-")&amp;TEXT(ABS(J12-I12),"[h]""h"" mm""m""")</f>
        <v/>
      </c>
    </row>
    <row r="13">
      <c r="A13" s="16" t="inlineStr">
        <is>
          <t>Wk3  17 Aug–23 Aug</t>
        </is>
      </c>
      <c r="B13" s="16" t="inlineStr">
        <is>
          <t>Noor Shahid</t>
        </is>
      </c>
      <c r="C13" s="16" t="inlineStr">
        <is>
          <t>Titan Forge</t>
        </is>
      </c>
      <c r="D13" s="17" t="inlineStr">
        <is>
          <t>Tag Manger Tracking</t>
        </is>
      </c>
      <c r="E13" s="17" t="inlineStr">
        <is>
          <t>Tracking all website events via Tag Manager.</t>
        </is>
      </c>
      <c r="F13" s="16" t="inlineStr">
        <is>
          <t>completed</t>
        </is>
      </c>
      <c r="G13" s="18" t="n">
        <v>0</v>
      </c>
      <c r="H13" s="18" t="n">
        <v>0</v>
      </c>
      <c r="I13" s="18">
        <f>G13+H13</f>
        <v/>
      </c>
      <c r="J13" s="18" t="n">
        <v>0.08333333333333333</v>
      </c>
      <c r="K13" s="19">
        <f>IF(J13&gt;=I13,"+","-")&amp;TEXT(ABS(J13-I13),"[h]""h"" mm""m""")</f>
        <v/>
      </c>
    </row>
    <row r="14">
      <c r="A14" s="16" t="inlineStr">
        <is>
          <t>Wk3  17 Aug–23 Aug</t>
        </is>
      </c>
      <c r="B14" s="16" t="inlineStr">
        <is>
          <t>Saif Ullah</t>
        </is>
      </c>
      <c r="C14" s="16" t="inlineStr">
        <is>
          <t>Neowall</t>
        </is>
      </c>
      <c r="D14" s="17" t="inlineStr">
        <is>
          <t>New Year</t>
        </is>
      </c>
      <c r="E14" s="17" t="inlineStr">
        <is>
          <t>New Year campaign pushing lower-selling products.</t>
        </is>
      </c>
      <c r="F14" s="16" t="inlineStr">
        <is>
          <t>backlog</t>
        </is>
      </c>
      <c r="G14" s="18" t="n">
        <v>0</v>
      </c>
      <c r="H14" s="18" t="n">
        <v>0</v>
      </c>
      <c r="I14" s="18">
        <f>G14+H14</f>
        <v/>
      </c>
      <c r="J14" s="18" t="n">
        <v>0</v>
      </c>
      <c r="K14" s="19">
        <f>IF(J14&gt;=I14,"+","-")&amp;TEXT(ABS(J14-I14),"[h]""h"" mm""m""")</f>
        <v/>
      </c>
    </row>
    <row r="15">
      <c r="A15" s="16" t="inlineStr">
        <is>
          <t>Wk4  24 Aug–30 Aug</t>
        </is>
      </c>
      <c r="B15" s="16" t="inlineStr">
        <is>
          <t>Atta Ul Mustafa Saad</t>
        </is>
      </c>
      <c r="C15" s="16" t="inlineStr">
        <is>
          <t>Linknbit</t>
        </is>
      </c>
      <c r="D15" s="17" t="inlineStr">
        <is>
          <t>12 Rabi Ul Awal Post</t>
        </is>
      </c>
      <c r="E15" s="17" t="inlineStr">
        <is>
          <t>A 12 Rabi ul Awal post for Facebook, LinkedIn and Instagram.</t>
        </is>
      </c>
      <c r="F15" s="16" t="inlineStr">
        <is>
          <t>completed</t>
        </is>
      </c>
      <c r="G15" s="18" t="n">
        <v>0.0798611111111111</v>
      </c>
      <c r="H15" s="18" t="n">
        <v>0.03472222222222222</v>
      </c>
      <c r="I15" s="18">
        <f>G15+H15</f>
        <v/>
      </c>
      <c r="J15" s="18" t="n">
        <v>0.1354166666666667</v>
      </c>
      <c r="K15" s="19">
        <f>IF(J15&gt;=I15,"+","-")&amp;TEXT(ABS(J15-I15),"[h]""h"" mm""m""")</f>
        <v/>
      </c>
    </row>
    <row r="16">
      <c r="A16" s="16" t="inlineStr">
        <is>
          <t>Wk4  24 Aug–30 Aug</t>
        </is>
      </c>
      <c r="B16" s="16" t="inlineStr">
        <is>
          <t>Atta Ul Mustafa Saad</t>
        </is>
      </c>
      <c r="C16" s="16" t="inlineStr">
        <is>
          <t>Linknbit</t>
        </is>
      </c>
      <c r="D16" s="17" t="inlineStr">
        <is>
          <t>6 September Post</t>
        </is>
      </c>
      <c r="E16" s="17" t="inlineStr">
        <is>
          <t>Defence Day posts for Facebook, Instagram and LinkedIn.</t>
        </is>
      </c>
      <c r="F16" s="16" t="inlineStr">
        <is>
          <t>completed</t>
        </is>
      </c>
      <c r="G16" s="18" t="n">
        <v>0.1361111111111111</v>
      </c>
      <c r="H16" s="18" t="n">
        <v>0</v>
      </c>
      <c r="I16" s="18">
        <f>G16+H16</f>
        <v/>
      </c>
      <c r="J16" s="18" t="n">
        <v>0.1666666666666667</v>
      </c>
      <c r="K16" s="19">
        <f>IF(J16&gt;=I16,"+","-")&amp;TEXT(ABS(J16-I16),"[h]""h"" mm""m""")</f>
        <v/>
      </c>
    </row>
    <row r="17">
      <c r="A17" s="16" t="inlineStr">
        <is>
          <t>Wk4  24 Aug–30 Aug</t>
        </is>
      </c>
      <c r="B17" s="16" t="inlineStr">
        <is>
          <t>Maaz Tareen</t>
        </is>
      </c>
      <c r="C17" s="16" t="inlineStr">
        <is>
          <t>Academix Mentor</t>
        </is>
      </c>
      <c r="D17" s="17" t="inlineStr">
        <is>
          <t>Holiday Posts</t>
        </is>
      </c>
      <c r="E17" s="17" t="inlineStr">
        <is>
          <t>Posts for 12 Rabi ul Awal and 6 September.</t>
        </is>
      </c>
      <c r="F17" s="16" t="inlineStr">
        <is>
          <t>review</t>
        </is>
      </c>
      <c r="G17" s="18" t="n">
        <v>0.02847222222222222</v>
      </c>
      <c r="H17" s="18" t="n">
        <v>0.03819444444444445</v>
      </c>
      <c r="I17" s="18">
        <f>G17+H17</f>
        <v/>
      </c>
      <c r="J17" s="18" t="n">
        <v>0.125</v>
      </c>
      <c r="K17" s="19">
        <f>IF(J17&gt;=I17,"+","-")&amp;TEXT(ABS(J17-I17),"[h]""h"" mm""m""")</f>
        <v/>
      </c>
    </row>
    <row r="18">
      <c r="A18" s="16" t="inlineStr">
        <is>
          <t>Wk4  24 Aug–30 Aug</t>
        </is>
      </c>
      <c r="B18" s="16" t="inlineStr">
        <is>
          <t>Maaz Tareen</t>
        </is>
      </c>
      <c r="C18" s="16" t="inlineStr">
        <is>
          <t>MAQx</t>
        </is>
      </c>
      <c r="D18" s="17" t="inlineStr">
        <is>
          <t>Holidays Posts</t>
        </is>
      </c>
      <c r="E18" s="17" t="inlineStr">
        <is>
          <t>Posts for 12 Rabi ul Awal and Defence Day.</t>
        </is>
      </c>
      <c r="F18" s="16" t="inlineStr">
        <is>
          <t>review</t>
        </is>
      </c>
      <c r="G18" s="18" t="n">
        <v>0</v>
      </c>
      <c r="H18" s="18" t="n">
        <v>0.08680555555555555</v>
      </c>
      <c r="I18" s="18">
        <f>G18+H18</f>
        <v/>
      </c>
      <c r="J18" s="18" t="n">
        <v>0.08333333333333333</v>
      </c>
      <c r="K18" s="19">
        <f>IF(J18&gt;=I18,"+","-")&amp;TEXT(ABS(J18-I18),"[h]""h"" mm""m""")</f>
        <v/>
      </c>
    </row>
    <row r="19">
      <c r="A19" s="16" t="inlineStr">
        <is>
          <t>Wk4  24 Aug–30 Aug</t>
        </is>
      </c>
      <c r="B19" s="16" t="inlineStr">
        <is>
          <t>Maaz Tareen</t>
        </is>
      </c>
      <c r="C19" s="16" t="inlineStr">
        <is>
          <t>MAQx</t>
        </is>
      </c>
      <c r="D19" s="17" t="inlineStr">
        <is>
          <t>Maqx Content Plan (for ads and posting)</t>
        </is>
      </c>
      <c r="E19" s="17" t="inlineStr">
        <is>
          <t>Planning MAQx content for ads and organic posting.</t>
        </is>
      </c>
      <c r="F19" s="16" t="inlineStr">
        <is>
          <t>review</t>
        </is>
      </c>
      <c r="G19" s="18" t="n">
        <v>0</v>
      </c>
      <c r="H19" s="18" t="n">
        <v>0</v>
      </c>
      <c r="I19" s="18">
        <f>G19+H19</f>
        <v/>
      </c>
      <c r="J19" s="18" t="n">
        <v>0.2916666666666667</v>
      </c>
      <c r="K19" s="19">
        <f>IF(J19&gt;=I19,"+","-")&amp;TEXT(ABS(J19-I19),"[h]""h"" mm""m""")</f>
        <v/>
      </c>
    </row>
    <row r="20">
      <c r="A20" s="16" t="inlineStr">
        <is>
          <t>Wk4  24 Aug–30 Aug</t>
        </is>
      </c>
      <c r="B20" s="16" t="inlineStr">
        <is>
          <t>Maaz Tareen</t>
        </is>
      </c>
      <c r="C20" s="16" t="inlineStr">
        <is>
          <t>MAQx</t>
        </is>
      </c>
      <c r="D20" s="17" t="inlineStr">
        <is>
          <t>Maqx Reel</t>
        </is>
      </c>
      <c r="E20" s="17" t="inlineStr">
        <is>
          <t>Producing a short video reel about IELTS.</t>
        </is>
      </c>
      <c r="F20" s="16" t="inlineStr">
        <is>
          <t>review</t>
        </is>
      </c>
      <c r="G20" s="18" t="n">
        <v>0.3951388888888889</v>
      </c>
      <c r="H20" s="18" t="n">
        <v>0.04166666666666666</v>
      </c>
      <c r="I20" s="18">
        <f>G20+H20</f>
        <v/>
      </c>
      <c r="J20" s="18" t="n">
        <v>0.375</v>
      </c>
      <c r="K20" s="19">
        <f>IF(J20&gt;=I20,"+","-")&amp;TEXT(ABS(J20-I20),"[h]""h"" mm""m""")</f>
        <v/>
      </c>
    </row>
    <row r="21">
      <c r="A21" s="16" t="inlineStr">
        <is>
          <t>Wk4  24 Aug–30 Aug</t>
        </is>
      </c>
      <c r="B21" s="16" t="inlineStr">
        <is>
          <t>Mahnoor Khalid</t>
        </is>
      </c>
      <c r="C21" s="16" t="inlineStr">
        <is>
          <t>Linknbit</t>
        </is>
      </c>
      <c r="D21" s="17" t="inlineStr">
        <is>
          <t>Linknbit Social Media Content &amp; Reels</t>
        </is>
      </c>
      <c r="E21" s="17" t="inlineStr">
        <is>
          <t>Our own social content and reels, per the subtasks.</t>
        </is>
      </c>
      <c r="F21" s="16" t="inlineStr">
        <is>
          <t>review</t>
        </is>
      </c>
      <c r="G21" s="18" t="n">
        <v>0.1631944444444444</v>
      </c>
      <c r="H21" s="18" t="n">
        <v>0</v>
      </c>
      <c r="I21" s="18">
        <f>G21+H21</f>
        <v/>
      </c>
      <c r="J21" s="18" t="n">
        <v>0</v>
      </c>
      <c r="K21" s="19">
        <f>IF(J21&gt;=I21,"+","-")&amp;TEXT(ABS(J21-I21),"[h]""h"" mm""m""")</f>
        <v/>
      </c>
    </row>
    <row r="22">
      <c r="A22" s="16" t="inlineStr">
        <is>
          <t>Wk4  24 Aug–30 Aug</t>
        </is>
      </c>
      <c r="B22" s="16" t="inlineStr">
        <is>
          <t>Mahnoor Khalid</t>
        </is>
      </c>
      <c r="C22" s="16" t="inlineStr">
        <is>
          <t>MAQx</t>
        </is>
      </c>
      <c r="D22" s="17" t="inlineStr">
        <is>
          <t>Social Media Post Plan</t>
        </is>
      </c>
      <c r="E22" s="17" t="inlineStr">
        <is>
          <t>Planning the reels and static posts for the intake campaign.</t>
        </is>
      </c>
      <c r="F22" s="16" t="inlineStr">
        <is>
          <t>completed</t>
        </is>
      </c>
      <c r="G22" s="18" t="n">
        <v>0.1479166666666667</v>
      </c>
      <c r="H22" s="18" t="n">
        <v>0</v>
      </c>
      <c r="I22" s="18">
        <f>G22+H22</f>
        <v/>
      </c>
      <c r="J22" s="18" t="n">
        <v>0</v>
      </c>
      <c r="K22" s="19">
        <f>IF(J22&gt;=I22,"+","-")&amp;TEXT(ABS(J22-I22),"[h]""h"" mm""m""")</f>
        <v/>
      </c>
    </row>
    <row r="23">
      <c r="A23" s="16" t="inlineStr">
        <is>
          <t>Wk4  24 Aug–30 Aug</t>
        </is>
      </c>
      <c r="B23" s="16" t="inlineStr">
        <is>
          <t>Mahnoor Khalid</t>
        </is>
      </c>
      <c r="C23" s="16" t="inlineStr">
        <is>
          <t>Academix Mentor</t>
        </is>
      </c>
      <c r="D23" s="17" t="inlineStr">
        <is>
          <t>Social Media Post Plan</t>
        </is>
      </c>
      <c r="E23" s="17" t="inlineStr">
        <is>
          <t>Planning the reels and static posts for the intake campaign.</t>
        </is>
      </c>
      <c r="F23" s="16" t="inlineStr">
        <is>
          <t>completed</t>
        </is>
      </c>
      <c r="G23" s="18" t="n">
        <v>0.03611111111111111</v>
      </c>
      <c r="H23" s="18" t="n">
        <v>0</v>
      </c>
      <c r="I23" s="18">
        <f>G23+H23</f>
        <v/>
      </c>
      <c r="J23" s="18" t="n">
        <v>0.3333333333333333</v>
      </c>
      <c r="K23" s="19">
        <f>IF(J23&gt;=I23,"+","-")&amp;TEXT(ABS(J23-I23),"[h]""h"" mm""m""")</f>
        <v/>
      </c>
    </row>
    <row r="24">
      <c r="A24" s="16" t="inlineStr">
        <is>
          <t>Wk4  24 Aug–30 Aug</t>
        </is>
      </c>
      <c r="B24" s="16" t="inlineStr">
        <is>
          <t>Yasir birlas</t>
        </is>
      </c>
      <c r="C24" s="16" t="inlineStr">
        <is>
          <t>Neowall</t>
        </is>
      </c>
      <c r="D24" s="17" t="inlineStr">
        <is>
          <t>Email Flows Design</t>
        </is>
      </c>
      <c r="E24" s="17" t="inlineStr">
        <is>
          <t>Designing automated marketing email sequences.</t>
        </is>
      </c>
      <c r="F24" s="16" t="inlineStr">
        <is>
          <t>completed</t>
        </is>
      </c>
      <c r="G24" s="18" t="n">
        <v>0</v>
      </c>
      <c r="H24" s="18" t="n">
        <v>0</v>
      </c>
      <c r="I24" s="18">
        <f>G24+H24</f>
        <v/>
      </c>
      <c r="J24" s="18" t="n">
        <v>0.625</v>
      </c>
      <c r="K24" s="19">
        <f>IF(J24&gt;=I24,"+","-")&amp;TEXT(ABS(J24-I24),"[h]""h"" mm""m""")</f>
        <v/>
      </c>
    </row>
    <row r="25">
      <c r="A25" s="16" t="inlineStr">
        <is>
          <t>Wk5  31 Aug–06 Sep</t>
        </is>
      </c>
      <c r="B25" s="16" t="inlineStr">
        <is>
          <t>Saif Ullah</t>
        </is>
      </c>
      <c r="C25" s="16" t="inlineStr">
        <is>
          <t>MAQx</t>
        </is>
      </c>
      <c r="D25" s="17" t="inlineStr">
        <is>
          <t>Quarterly Strategy</t>
        </is>
      </c>
      <c r="E25" s="17" t="inlineStr">
        <is>
          <t>Building the next three-month strategy.</t>
        </is>
      </c>
      <c r="F25" s="16" t="inlineStr">
        <is>
          <t>backlog</t>
        </is>
      </c>
      <c r="G25" s="18" t="n">
        <v>0</v>
      </c>
      <c r="H25" s="18" t="n">
        <v>0</v>
      </c>
      <c r="I25" s="18">
        <f>G25+H25</f>
        <v/>
      </c>
      <c r="J25" s="18" t="n">
        <v>0</v>
      </c>
      <c r="K25" s="19">
        <f>IF(J25&gt;=I25,"+","-")&amp;TEXT(ABS(J25-I25),"[h]""h"" mm""m""")</f>
        <v/>
      </c>
    </row>
    <row r="26">
      <c r="A26" s="16" t="inlineStr">
        <is>
          <t>Wk5  31 Aug–06 Sep</t>
        </is>
      </c>
      <c r="B26" s="16" t="inlineStr">
        <is>
          <t>Yasir birlas</t>
        </is>
      </c>
      <c r="C26" s="16" t="inlineStr">
        <is>
          <t>Neowall</t>
        </is>
      </c>
      <c r="D26" s="17" t="inlineStr">
        <is>
          <t>Content Changing</t>
        </is>
      </c>
      <c r="E26" s="17" t="inlineStr">
        <is>
          <t>Global text change: 25-year warranty updated to 10-year everywhere.</t>
        </is>
      </c>
      <c r="F26" s="16" t="inlineStr">
        <is>
          <t>approved</t>
        </is>
      </c>
      <c r="G26" s="18" t="n">
        <v>0.3819444444444444</v>
      </c>
      <c r="H26" s="18" t="n">
        <v>0</v>
      </c>
      <c r="I26" s="18">
        <f>G26+H26</f>
        <v/>
      </c>
      <c r="J26" s="18" t="n">
        <v>0.7013888888888888</v>
      </c>
      <c r="K26" s="19">
        <f>IF(J26&gt;=I26,"+","-")&amp;TEXT(ABS(J26-I26),"[h]""h"" mm""m""")</f>
        <v/>
      </c>
    </row>
    <row r="27">
      <c r="A27" s="16" t="inlineStr">
        <is>
          <t>Wk5  31 Aug–06 Sep</t>
        </is>
      </c>
      <c r="B27" s="16" t="inlineStr">
        <is>
          <t>Yasir birlas</t>
        </is>
      </c>
      <c r="C27" s="16" t="inlineStr">
        <is>
          <t>MAQx</t>
        </is>
      </c>
      <c r="D27" s="17" t="inlineStr">
        <is>
          <t>Maqx Content bucket</t>
        </is>
      </c>
      <c r="E27" s="17" t="inlineStr">
        <is>
          <t>Building a reusable bank of MAQx content ideas.</t>
        </is>
      </c>
      <c r="F27" s="16" t="inlineStr">
        <is>
          <t>review</t>
        </is>
      </c>
      <c r="G27" s="18" t="n">
        <v>0</v>
      </c>
      <c r="H27" s="18" t="n">
        <v>0</v>
      </c>
      <c r="I27" s="18">
        <f>G27+H27</f>
        <v/>
      </c>
      <c r="J27" s="18" t="n">
        <v>0.04166666666666666</v>
      </c>
      <c r="K27" s="19">
        <f>IF(J27&gt;=I27,"+","-")&amp;TEXT(ABS(J27-I27),"[h]""h"" mm""m""")</f>
        <v/>
      </c>
    </row>
    <row r="28">
      <c r="A28" s="16" t="inlineStr">
        <is>
          <t>Wk5  31 Aug–06 Sep</t>
        </is>
      </c>
      <c r="B28" s="16" t="inlineStr">
        <is>
          <t>Yasir birlas</t>
        </is>
      </c>
      <c r="C28" s="16" t="inlineStr">
        <is>
          <t>Neowall</t>
        </is>
      </c>
      <c r="D28" s="17" t="inlineStr">
        <is>
          <t>Monthly Deliverables</t>
        </is>
      </c>
      <c r="E28" s="17" t="inlineStr">
        <is>
          <t>The agreed monthly package of work for Neowall.</t>
        </is>
      </c>
      <c r="F28" s="16" t="inlineStr">
        <is>
          <t>review</t>
        </is>
      </c>
      <c r="G28" s="18" t="n">
        <v>0.2708333333333333</v>
      </c>
      <c r="H28" s="18" t="n">
        <v>0</v>
      </c>
      <c r="I28" s="18">
        <f>G28+H28</f>
        <v/>
      </c>
      <c r="J28" s="18" t="n">
        <v>0.3333333333333333</v>
      </c>
      <c r="K28" s="19">
        <f>IF(J28&gt;=I28,"+","-")&amp;TEXT(ABS(J28-I28),"[h]""h"" mm""m""")</f>
        <v/>
      </c>
    </row>
    <row r="29">
      <c r="A29" s="16" t="inlineStr">
        <is>
          <t>Wk5  31 Aug–06 Sep</t>
        </is>
      </c>
      <c r="B29" s="16" t="inlineStr">
        <is>
          <t>Yasir birlas</t>
        </is>
      </c>
      <c r="C29" s="16" t="inlineStr">
        <is>
          <t>Titan Forge</t>
        </is>
      </c>
      <c r="D29" s="17" t="inlineStr">
        <is>
          <t>Website Changes</t>
        </is>
      </c>
      <c r="E29" s="17" t="inlineStr">
        <is>
          <t>SEO-driven changes: category headings, descriptions and FAQ sections.</t>
        </is>
      </c>
      <c r="F29" s="16" t="inlineStr">
        <is>
          <t>review</t>
        </is>
      </c>
      <c r="G29" s="18" t="n">
        <v>0.1277777777777778</v>
      </c>
      <c r="H29" s="18" t="n">
        <v>0</v>
      </c>
      <c r="I29" s="18">
        <f>G29+H29</f>
        <v/>
      </c>
      <c r="J29" s="18" t="n">
        <v>0.1458333333333333</v>
      </c>
      <c r="K29" s="19">
        <f>IF(J29&gt;=I29,"+","-")&amp;TEXT(ABS(J29-I29),"[h]""h"" mm""m""")</f>
        <v/>
      </c>
    </row>
    <row r="30">
      <c r="A30" s="16" t="inlineStr">
        <is>
          <t>Wk6  07 Sep–13 Sep</t>
        </is>
      </c>
      <c r="B30" s="16" t="inlineStr">
        <is>
          <t>Noor Shahid</t>
        </is>
      </c>
      <c r="C30" s="16" t="inlineStr">
        <is>
          <t>Neowall</t>
        </is>
      </c>
      <c r="D30" s="17" t="inlineStr">
        <is>
          <t>Ad Campaign</t>
        </is>
      </c>
      <c r="E30" s="17" t="inlineStr">
        <is>
          <t>Launching the Meta ad campaign.</t>
        </is>
      </c>
      <c r="F30" s="16" t="inlineStr">
        <is>
          <t>in_progress</t>
        </is>
      </c>
      <c r="G30" s="18" t="n">
        <v>0.1006944444444444</v>
      </c>
      <c r="H30" s="18" t="n">
        <v>0</v>
      </c>
      <c r="I30" s="18">
        <f>G30+H30</f>
        <v/>
      </c>
      <c r="J30" s="18" t="n">
        <v>0</v>
      </c>
      <c r="K30" s="19">
        <f>IF(J30&gt;=I30,"+","-")&amp;TEXT(ABS(J30-I30),"[h]""h"" mm""m""")</f>
        <v/>
      </c>
    </row>
    <row r="31">
      <c r="A31" s="16" t="inlineStr">
        <is>
          <t>Wk6  07 Sep–13 Sep</t>
        </is>
      </c>
      <c r="B31" s="16" t="inlineStr">
        <is>
          <t>Yasir birlas</t>
        </is>
      </c>
      <c r="C31" s="16" t="inlineStr">
        <is>
          <t>Neowall</t>
        </is>
      </c>
      <c r="D31" s="17" t="inlineStr">
        <is>
          <t>Content Changing</t>
        </is>
      </c>
      <c r="E31" s="17" t="inlineStr">
        <is>
          <t>Global text change: 25-year warranty updated to 10-year everywhere.</t>
        </is>
      </c>
      <c r="F31" s="16" t="inlineStr">
        <is>
          <t>approved</t>
        </is>
      </c>
      <c r="G31" s="18" t="n">
        <v>0</v>
      </c>
      <c r="H31" s="18" t="n">
        <v>0</v>
      </c>
      <c r="I31" s="18">
        <f>G31+H31</f>
        <v/>
      </c>
      <c r="J31" s="18" t="n">
        <v>0.0625</v>
      </c>
      <c r="K31" s="19">
        <f>IF(J31&gt;=I31,"+","-")&amp;TEXT(ABS(J31-I31),"[h]""h"" mm""m""")</f>
        <v/>
      </c>
    </row>
    <row r="32">
      <c r="A32" s="16" t="inlineStr">
        <is>
          <t>Wk6  07 Sep–13 Sep</t>
        </is>
      </c>
      <c r="B32" s="16" t="inlineStr">
        <is>
          <t>Yasir birlas</t>
        </is>
      </c>
      <c r="C32" s="16" t="inlineStr">
        <is>
          <t>Neowall</t>
        </is>
      </c>
      <c r="D32" s="17" t="inlineStr">
        <is>
          <t>Content Deliverables/Blogs</t>
        </is>
      </c>
      <c r="E32" s="17" t="inlineStr">
        <is>
          <t>Writing the agreed blog and content deliverables.</t>
        </is>
      </c>
      <c r="F32" s="16" t="inlineStr">
        <is>
          <t>in_progress</t>
        </is>
      </c>
      <c r="G32" s="18" t="n">
        <v>0.2770833333333333</v>
      </c>
      <c r="H32" s="18" t="n">
        <v>0.3472222222222222</v>
      </c>
      <c r="I32" s="18">
        <f>G32+H32</f>
        <v/>
      </c>
      <c r="J32" s="18" t="n">
        <v>0.2840277777777778</v>
      </c>
      <c r="K32" s="19">
        <f>IF(J32&gt;=I32,"+","-")&amp;TEXT(ABS(J32-I32),"[h]""h"" mm""m""")</f>
        <v/>
      </c>
    </row>
    <row r="33">
      <c r="A33" s="16" t="inlineStr">
        <is>
          <t>Wk6  07 Sep–13 Sep</t>
        </is>
      </c>
      <c r="B33" s="16" t="inlineStr">
        <is>
          <t>Yasir birlas</t>
        </is>
      </c>
      <c r="C33" s="16" t="inlineStr">
        <is>
          <t>Neowall</t>
        </is>
      </c>
      <c r="D33" s="17" t="inlineStr">
        <is>
          <t>Monthly Deliverables</t>
        </is>
      </c>
      <c r="E33" s="17" t="inlineStr">
        <is>
          <t>The agreed monthly package of work for Neowall.</t>
        </is>
      </c>
      <c r="F33" s="16" t="inlineStr">
        <is>
          <t>review</t>
        </is>
      </c>
      <c r="G33" s="18" t="n">
        <v>0.6694444444444444</v>
      </c>
      <c r="H33" s="18" t="n">
        <v>0</v>
      </c>
      <c r="I33" s="18">
        <f>G33+H33</f>
        <v/>
      </c>
      <c r="J33" s="18" t="n">
        <v>0.9243055555555556</v>
      </c>
      <c r="K33" s="19">
        <f>IF(J33&gt;=I33,"+","-")&amp;TEXT(ABS(J33-I33),"[h]""h"" mm""m""")</f>
        <v/>
      </c>
    </row>
    <row r="34">
      <c r="A34" s="16" t="inlineStr">
        <is>
          <t>Wk6  07 Sep–13 Sep</t>
        </is>
      </c>
      <c r="B34" s="16" t="inlineStr">
        <is>
          <t>Yasir birlas</t>
        </is>
      </c>
      <c r="C34" s="16" t="inlineStr">
        <is>
          <t>Zedan</t>
        </is>
      </c>
      <c r="D34" s="17" t="inlineStr">
        <is>
          <t>Transactional Flow</t>
        </is>
      </c>
      <c r="E34" s="17" t="inlineStr">
        <is>
          <t>Setting up automated cart, checkout and purchase emails in Klaviyo.</t>
        </is>
      </c>
      <c r="F34" s="16" t="inlineStr">
        <is>
          <t>todo</t>
        </is>
      </c>
      <c r="G34" s="18" t="n">
        <v>0</v>
      </c>
      <c r="H34" s="18" t="n">
        <v>0</v>
      </c>
      <c r="I34" s="18">
        <f>G34+H34</f>
        <v/>
      </c>
      <c r="J34" s="18" t="n">
        <v>0.0625</v>
      </c>
      <c r="K34" s="19">
        <f>IF(J34&gt;=I34,"+","-")&amp;TEXT(ABS(J34-I34),"[h]""h"" mm""m""")</f>
        <v/>
      </c>
    </row>
    <row r="35">
      <c r="A35" s="16" t="inlineStr">
        <is>
          <t>Wk6  07 Sep–13 Sep</t>
        </is>
      </c>
      <c r="B35" s="16" t="inlineStr">
        <is>
          <t>khizer hayat</t>
        </is>
      </c>
      <c r="C35" s="16" t="inlineStr">
        <is>
          <t>Neowall</t>
        </is>
      </c>
      <c r="D35" s="17" t="inlineStr">
        <is>
          <t>Monthly Deliverables</t>
        </is>
      </c>
      <c r="E35" s="17" t="inlineStr">
        <is>
          <t>The agreed monthly package of work for Neowall.</t>
        </is>
      </c>
      <c r="F35" s="16" t="inlineStr">
        <is>
          <t>review</t>
        </is>
      </c>
      <c r="G35" s="18" t="n">
        <v>0.02083333333333333</v>
      </c>
      <c r="H35" s="18" t="n">
        <v>0</v>
      </c>
      <c r="I35" s="18">
        <f>G35+H35</f>
        <v/>
      </c>
      <c r="J35" s="18" t="n">
        <v>0</v>
      </c>
      <c r="K35" s="19">
        <f>IF(J35&gt;=I35,"+","-")&amp;TEXT(ABS(J35-I35),"[h]""h"" mm""m""")</f>
        <v/>
      </c>
    </row>
    <row r="36">
      <c r="A36" s="16" t="inlineStr">
        <is>
          <t>Wk7  14 Sep–20 Sep</t>
        </is>
      </c>
      <c r="B36" s="16" t="inlineStr">
        <is>
          <t>Yasir birlas</t>
        </is>
      </c>
      <c r="C36" s="16" t="inlineStr">
        <is>
          <t>Linknbit</t>
        </is>
      </c>
      <c r="D36" s="17" t="inlineStr">
        <is>
          <t>Please start posting on Meta</t>
        </is>
      </c>
      <c r="E36" s="17" t="inlineStr">
        <is>
          <t>Scheduling a month of posts on Instagram and Facebook.</t>
        </is>
      </c>
      <c r="F36" s="16" t="inlineStr">
        <is>
          <t>in_progress</t>
        </is>
      </c>
      <c r="G36" s="18" t="n">
        <v>0</v>
      </c>
      <c r="H36" s="18" t="n">
        <v>0.2534722222222222</v>
      </c>
      <c r="I36" s="18">
        <f>G36+H36</f>
        <v/>
      </c>
      <c r="J36" s="18" t="n">
        <v>0.3298611111111111</v>
      </c>
      <c r="K36" s="19">
        <f>IF(J36&gt;=I36,"+","-")&amp;TEXT(ABS(J36-I36),"[h]""h"" mm""m""")</f>
        <v/>
      </c>
    </row>
    <row r="37">
      <c r="A37" s="16" t="inlineStr">
        <is>
          <t>Wk7  14 Sep–20 Sep</t>
        </is>
      </c>
      <c r="B37" s="16" t="inlineStr">
        <is>
          <t>Yasir birlas</t>
        </is>
      </c>
      <c r="C37" s="16" t="inlineStr">
        <is>
          <t>Greta Grove</t>
        </is>
      </c>
      <c r="D37" s="17" t="inlineStr">
        <is>
          <t>SEO Plan</t>
        </is>
      </c>
      <c r="E37" s="17" t="inlineStr">
        <is>
          <t>A research-based SEO plan for Greta Grove.</t>
        </is>
      </c>
      <c r="F37" s="16" t="inlineStr">
        <is>
          <t>review</t>
        </is>
      </c>
      <c r="G37" s="18" t="n">
        <v>0</v>
      </c>
      <c r="H37" s="18" t="n">
        <v>0.1145833333333333</v>
      </c>
      <c r="I37" s="18">
        <f>G37+H37</f>
        <v/>
      </c>
      <c r="J37" s="18" t="n">
        <v>0.15625</v>
      </c>
      <c r="K37" s="19">
        <f>IF(J37&gt;=I37,"+","-")&amp;TEXT(ABS(J37-I37),"[h]""h"" mm""m""")</f>
        <v/>
      </c>
    </row>
    <row r="38">
      <c r="A38" s="20" t="n"/>
      <c r="B38" s="20" t="n"/>
      <c r="C38" s="20" t="n"/>
      <c r="D38" s="20" t="inlineStr">
        <is>
          <t>TOTAL</t>
        </is>
      </c>
      <c r="E38" s="20" t="n"/>
      <c r="F38" s="20" t="n"/>
      <c r="G38" s="21">
        <f>SUM(G4:G37)</f>
        <v/>
      </c>
      <c r="H38" s="21">
        <f>SUM(H4:H37)</f>
        <v/>
      </c>
      <c r="I38" s="21">
        <f>SUM(I4:I37)</f>
        <v/>
      </c>
      <c r="J38" s="21">
        <f>SUM(J4:J37)</f>
        <v/>
      </c>
      <c r="K38" s="22">
        <f>IF(J38&gt;=I38,"+","-")&amp;TEXT(ABS(J38-I38),"[h]""h"" mm""m""")</f>
        <v/>
      </c>
    </row>
  </sheetData>
  <autoFilter ref="A3:K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4" customWidth="1" min="4" max="4"/>
    <col width="54" customWidth="1" min="5" max="5"/>
    <col width="12" customWidth="1" min="6" max="6"/>
    <col width="9" customWidth="1" min="7" max="7"/>
    <col width="9" customWidth="1" min="8" max="8"/>
    <col width="11" customWidth="1" min="9" max="9"/>
    <col width="10" customWidth="1" min="10" max="10"/>
    <col width="11" customWidth="1" min="11" max="11"/>
  </cols>
  <sheetData>
    <row r="1">
      <c r="A1" s="6" t="inlineStr">
        <is>
          <t>Other Services — task detail by week</t>
        </is>
      </c>
    </row>
    <row r="3" ht="30" customHeight="1">
      <c r="A3" s="7" t="inlineStr">
        <is>
          <t>Week</t>
        </is>
      </c>
      <c r="B3" s="7" t="inlineStr">
        <is>
          <t>Developer</t>
        </is>
      </c>
      <c r="C3" s="7" t="inlineStr">
        <is>
          <t>Project</t>
        </is>
      </c>
      <c r="D3" s="7" t="inlineStr">
        <is>
          <t>Task</t>
        </is>
      </c>
      <c r="E3" s="7" t="inlineStr">
        <is>
          <t>What it means (plain English)</t>
        </is>
      </c>
      <c r="F3" s="7" t="inlineStr">
        <is>
          <t>Status</t>
        </is>
      </c>
      <c r="G3" s="7" t="inlineStr">
        <is>
          <t>Timer h</t>
        </is>
      </c>
      <c r="H3" s="7" t="inlineStr">
        <is>
          <t>Manual h</t>
        </is>
      </c>
      <c r="I3" s="7" t="inlineStr">
        <is>
          <t>Timer total</t>
        </is>
      </c>
      <c r="J3" s="7" t="inlineStr">
        <is>
          <t>Standup h</t>
        </is>
      </c>
      <c r="K3" s="7" t="inlineStr">
        <is>
          <t>Difference</t>
        </is>
      </c>
    </row>
    <row r="4">
      <c r="A4" s="16" t="inlineStr">
        <is>
          <t>Wk3  17 Aug–23 Aug</t>
        </is>
      </c>
      <c r="B4" s="16" t="inlineStr">
        <is>
          <t>Muhammad Yahya</t>
        </is>
      </c>
      <c r="C4" s="16" t="inlineStr">
        <is>
          <t>Builders Trade Depot</t>
        </is>
      </c>
      <c r="D4" s="17" t="inlineStr">
        <is>
          <t>Products Title Scraping</t>
        </is>
      </c>
      <c r="E4" s="17" t="inlineStr">
        <is>
          <t>Scraping 270 product titles from two supplier sites.</t>
        </is>
      </c>
      <c r="F4" s="16" t="inlineStr">
        <is>
          <t>approved</t>
        </is>
      </c>
      <c r="G4" s="18" t="n">
        <v>0.1131944444444444</v>
      </c>
      <c r="H4" s="18" t="n">
        <v>0</v>
      </c>
      <c r="I4" s="18">
        <f>G4+H4</f>
        <v/>
      </c>
      <c r="J4" s="18" t="n">
        <v>0.08333333333333333</v>
      </c>
      <c r="K4" s="19">
        <f>IF(J4&gt;=I4,"+","-")&amp;TEXT(ABS(J4-I4),"[h]""h"" mm""m""")</f>
        <v/>
      </c>
    </row>
    <row r="5">
      <c r="A5" s="16" t="inlineStr">
        <is>
          <t>Wk3  17 Aug–23 Aug</t>
        </is>
      </c>
      <c r="B5" s="16" t="inlineStr">
        <is>
          <t>Muhammad Yahya</t>
        </is>
      </c>
      <c r="C5" s="16" t="inlineStr">
        <is>
          <t>Builders Trade Depot</t>
        </is>
      </c>
      <c r="D5" s="17" t="inlineStr">
        <is>
          <t>Upload Taps related products on the website</t>
        </is>
      </c>
      <c r="E5" s="17" t="inlineStr">
        <is>
          <t>Uploading tap products into their correct subcategories.</t>
        </is>
      </c>
      <c r="F5" s="16" t="inlineStr">
        <is>
          <t>approved</t>
        </is>
      </c>
      <c r="G5" s="18" t="n">
        <v>0.3743055555555556</v>
      </c>
      <c r="H5" s="18" t="n">
        <v>0.07291666666666667</v>
      </c>
      <c r="I5" s="18">
        <f>G5+H5</f>
        <v/>
      </c>
      <c r="J5" s="18" t="n">
        <v>0.125</v>
      </c>
      <c r="K5" s="19">
        <f>IF(J5&gt;=I5,"+","-")&amp;TEXT(ABS(J5-I5),"[h]""h"" mm""m""")</f>
        <v/>
      </c>
    </row>
    <row r="6">
      <c r="A6" s="16" t="inlineStr">
        <is>
          <t>Wk3  17 Aug–23 Aug</t>
        </is>
      </c>
      <c r="B6" s="16" t="inlineStr">
        <is>
          <t>Sajawal Khan</t>
        </is>
      </c>
      <c r="C6" s="16" t="inlineStr">
        <is>
          <t>Builders Trade Depot</t>
        </is>
      </c>
      <c r="D6" s="17" t="inlineStr">
        <is>
          <t>Products Title Scraping</t>
        </is>
      </c>
      <c r="E6" s="17" t="inlineStr">
        <is>
          <t>Scraping 270 product titles from two supplier sites.</t>
        </is>
      </c>
      <c r="F6" s="16" t="inlineStr">
        <is>
          <t>approved</t>
        </is>
      </c>
      <c r="G6" s="18" t="n">
        <v>0</v>
      </c>
      <c r="H6" s="18" t="n">
        <v>0</v>
      </c>
      <c r="I6" s="18">
        <f>G6+H6</f>
        <v/>
      </c>
      <c r="J6" s="18" t="n">
        <v>0.2083333333333333</v>
      </c>
      <c r="K6" s="19">
        <f>IF(J6&gt;=I6,"+","-")&amp;TEXT(ABS(J6-I6),"[h]""h"" mm""m""")</f>
        <v/>
      </c>
    </row>
    <row r="7">
      <c r="A7" s="16" t="inlineStr">
        <is>
          <t>Wk3  17 Aug–23 Aug</t>
        </is>
      </c>
      <c r="B7" s="16" t="inlineStr">
        <is>
          <t>Sajawal Khan</t>
        </is>
      </c>
      <c r="C7" s="16" t="inlineStr">
        <is>
          <t>Builders Trade Depot</t>
        </is>
      </c>
      <c r="D7" s="17" t="inlineStr">
        <is>
          <t>Upload Taps related products on the website</t>
        </is>
      </c>
      <c r="E7" s="17" t="inlineStr">
        <is>
          <t>Uploading tap products into their correct subcategories.</t>
        </is>
      </c>
      <c r="F7" s="16" t="inlineStr">
        <is>
          <t>approved</t>
        </is>
      </c>
      <c r="G7" s="18" t="n">
        <v>0.6027777777777777</v>
      </c>
      <c r="H7" s="18" t="n">
        <v>0</v>
      </c>
      <c r="I7" s="18">
        <f>G7+H7</f>
        <v/>
      </c>
      <c r="J7" s="18" t="n">
        <v>0</v>
      </c>
      <c r="K7" s="19">
        <f>IF(J7&gt;=I7,"+","-")&amp;TEXT(ABS(J7-I7),"[h]""h"" mm""m""")</f>
        <v/>
      </c>
    </row>
    <row r="8">
      <c r="A8" s="16" t="inlineStr">
        <is>
          <t>Wk3  17 Aug–23 Aug</t>
        </is>
      </c>
      <c r="B8" s="16" t="inlineStr">
        <is>
          <t>Yasir birlas</t>
        </is>
      </c>
      <c r="C8" s="16" t="inlineStr">
        <is>
          <t>Bright Amber</t>
        </is>
      </c>
      <c r="D8" s="17" t="inlineStr">
        <is>
          <t>Cookie Audit and Consent Banner</t>
        </is>
      </c>
      <c r="E8" s="17" t="inlineStr">
        <is>
          <t>Auditing cookies and adding a compliant consent banner.</t>
        </is>
      </c>
      <c r="F8" s="16" t="inlineStr">
        <is>
          <t>review</t>
        </is>
      </c>
      <c r="G8" s="18" t="n">
        <v>0</v>
      </c>
      <c r="H8" s="18" t="n">
        <v>0</v>
      </c>
      <c r="I8" s="18">
        <f>G8+H8</f>
        <v/>
      </c>
      <c r="J8" s="18" t="n">
        <v>0.2916666666666667</v>
      </c>
      <c r="K8" s="19">
        <f>IF(J8&gt;=I8,"+","-")&amp;TEXT(ABS(J8-I8),"[h]""h"" mm""m""")</f>
        <v/>
      </c>
    </row>
    <row r="9">
      <c r="A9" s="16" t="inlineStr">
        <is>
          <t>Wk3  17 Aug–23 Aug</t>
        </is>
      </c>
      <c r="B9" s="16" t="inlineStr">
        <is>
          <t>Yasir birlas</t>
        </is>
      </c>
      <c r="C9" s="16" t="inlineStr">
        <is>
          <t>Bright Amber</t>
        </is>
      </c>
      <c r="D9" s="17" t="inlineStr">
        <is>
          <t>SEO Amendments</t>
        </is>
      </c>
      <c r="E9" s="17" t="inlineStr">
        <is>
          <t>Making the SEO changes listed in the subtasks.</t>
        </is>
      </c>
      <c r="F9" s="16" t="inlineStr">
        <is>
          <t>completed</t>
        </is>
      </c>
      <c r="G9" s="18" t="n">
        <v>0</v>
      </c>
      <c r="H9" s="18" t="n">
        <v>0</v>
      </c>
      <c r="I9" s="18">
        <f>G9+H9</f>
        <v/>
      </c>
      <c r="J9" s="18" t="n">
        <v>0.2916666666666667</v>
      </c>
      <c r="K9" s="19">
        <f>IF(J9&gt;=I9,"+","-")&amp;TEXT(ABS(J9-I9),"[h]""h"" mm""m""")</f>
        <v/>
      </c>
    </row>
    <row r="10">
      <c r="A10" s="16" t="inlineStr">
        <is>
          <t>Wk3  17 Aug–23 Aug</t>
        </is>
      </c>
      <c r="B10" s="16" t="inlineStr">
        <is>
          <t>Yasir birlas</t>
        </is>
      </c>
      <c r="C10" s="16" t="inlineStr">
        <is>
          <t>Linknbit</t>
        </is>
      </c>
      <c r="D10" s="17" t="inlineStr">
        <is>
          <t>SEO Plan for Linknbit Website</t>
        </is>
      </c>
      <c r="E10" s="17" t="inlineStr">
        <is>
          <t>Writing a full SEO plan for our own website.</t>
        </is>
      </c>
      <c r="F10" s="16" t="inlineStr">
        <is>
          <t>review</t>
        </is>
      </c>
      <c r="G10" s="18" t="n">
        <v>0</v>
      </c>
      <c r="H10" s="18" t="n">
        <v>0</v>
      </c>
      <c r="I10" s="18">
        <f>G10+H10</f>
        <v/>
      </c>
      <c r="J10" s="18" t="n">
        <v>0.25</v>
      </c>
      <c r="K10" s="19">
        <f>IF(J10&gt;=I10,"+","-")&amp;TEXT(ABS(J10-I10),"[h]""h"" mm""m""")</f>
        <v/>
      </c>
    </row>
    <row r="11">
      <c r="A11" s="16" t="inlineStr">
        <is>
          <t>Wk4  24 Aug–30 Aug</t>
        </is>
      </c>
      <c r="B11" s="16" t="inlineStr">
        <is>
          <t>Yasir birlas</t>
        </is>
      </c>
      <c r="C11" s="16" t="inlineStr">
        <is>
          <t>Linknbit</t>
        </is>
      </c>
      <c r="D11" s="17" t="inlineStr">
        <is>
          <t>Content creation for the website</t>
        </is>
      </c>
      <c r="E11" s="17" t="inlineStr">
        <is>
          <t>Writing SEO-focused website copy.</t>
        </is>
      </c>
      <c r="F11" s="16" t="inlineStr">
        <is>
          <t>blocked</t>
        </is>
      </c>
      <c r="G11" s="18" t="n">
        <v>0</v>
      </c>
      <c r="H11" s="18" t="n">
        <v>0</v>
      </c>
      <c r="I11" s="18">
        <f>G11+H11</f>
        <v/>
      </c>
      <c r="J11" s="18" t="n">
        <v>0.1666666666666667</v>
      </c>
      <c r="K11" s="19">
        <f>IF(J11&gt;=I11,"+","-")&amp;TEXT(ABS(J11-I11),"[h]""h"" mm""m""")</f>
        <v/>
      </c>
    </row>
    <row r="12">
      <c r="A12" s="16" t="inlineStr">
        <is>
          <t>Wk4  24 Aug–30 Aug</t>
        </is>
      </c>
      <c r="B12" s="16" t="inlineStr">
        <is>
          <t>Yasir birlas</t>
        </is>
      </c>
      <c r="C12" s="16" t="inlineStr">
        <is>
          <t>Bright Amber</t>
        </is>
      </c>
      <c r="D12" s="17" t="inlineStr">
        <is>
          <t>SEO Amendments</t>
        </is>
      </c>
      <c r="E12" s="17" t="inlineStr">
        <is>
          <t>Making the SEO changes listed in the subtasks.</t>
        </is>
      </c>
      <c r="F12" s="16" t="inlineStr">
        <is>
          <t>completed</t>
        </is>
      </c>
      <c r="G12" s="18" t="n">
        <v>0</v>
      </c>
      <c r="H12" s="18" t="n">
        <v>0</v>
      </c>
      <c r="I12" s="18">
        <f>G12+H12</f>
        <v/>
      </c>
      <c r="J12" s="18" t="n">
        <v>0.04166666666666666</v>
      </c>
      <c r="K12" s="19">
        <f>IF(J12&gt;=I12,"+","-")&amp;TEXT(ABS(J12-I12),"[h]""h"" mm""m""")</f>
        <v/>
      </c>
    </row>
    <row r="13">
      <c r="A13" s="16" t="inlineStr">
        <is>
          <t>Wk4  24 Aug–30 Aug</t>
        </is>
      </c>
      <c r="B13" s="16" t="inlineStr">
        <is>
          <t>Yasir birlas</t>
        </is>
      </c>
      <c r="C13" s="16" t="inlineStr">
        <is>
          <t>Linknbit</t>
        </is>
      </c>
      <c r="D13" s="17" t="inlineStr">
        <is>
          <t>SEO Plan for Linknbit Website</t>
        </is>
      </c>
      <c r="E13" s="17" t="inlineStr">
        <is>
          <t>Writing a full SEO plan for our own website.</t>
        </is>
      </c>
      <c r="F13" s="16" t="inlineStr">
        <is>
          <t>review</t>
        </is>
      </c>
      <c r="G13" s="18" t="n">
        <v>0</v>
      </c>
      <c r="H13" s="18" t="n">
        <v>0</v>
      </c>
      <c r="I13" s="18">
        <f>G13+H13</f>
        <v/>
      </c>
      <c r="J13" s="18" t="n">
        <v>0.08333333333333333</v>
      </c>
      <c r="K13" s="19">
        <f>IF(J13&gt;=I13,"+","-")&amp;TEXT(ABS(J13-I13),"[h]""h"" mm""m""")</f>
        <v/>
      </c>
    </row>
    <row r="14">
      <c r="A14" s="16" t="inlineStr">
        <is>
          <t>Wk4  24 Aug–30 Aug</t>
        </is>
      </c>
      <c r="B14" s="16" t="inlineStr">
        <is>
          <t>Yasir birlas</t>
        </is>
      </c>
      <c r="C14" s="16" t="inlineStr">
        <is>
          <t>Rise of Burges</t>
        </is>
      </c>
      <c r="D14" s="17" t="inlineStr">
        <is>
          <t>Translate Meta Description</t>
        </is>
      </c>
      <c r="E14" s="17" t="inlineStr">
        <is>
          <t>Translating every page's meta description into Dutch.</t>
        </is>
      </c>
      <c r="F14" s="16" t="inlineStr">
        <is>
          <t>completed</t>
        </is>
      </c>
      <c r="G14" s="18" t="n">
        <v>0</v>
      </c>
      <c r="H14" s="18" t="n">
        <v>0</v>
      </c>
      <c r="I14" s="18">
        <f>G14+H14</f>
        <v/>
      </c>
      <c r="J14" s="18" t="n">
        <v>0.08333333333333333</v>
      </c>
      <c r="K14" s="19">
        <f>IF(J14&gt;=I14,"+","-")&amp;TEXT(ABS(J14-I14),"[h]""h"" mm""m""")</f>
        <v/>
      </c>
    </row>
    <row r="15">
      <c r="A15" s="16" t="inlineStr">
        <is>
          <t>Wk4  24 Aug–30 Aug</t>
        </is>
      </c>
      <c r="B15" s="16" t="inlineStr">
        <is>
          <t>Yasir birlas</t>
        </is>
      </c>
      <c r="C15" s="16" t="inlineStr">
        <is>
          <t>Dansing Academy</t>
        </is>
      </c>
      <c r="D15" s="17" t="inlineStr">
        <is>
          <t>Website Amendments</t>
        </is>
      </c>
      <c r="E15" s="17" t="inlineStr">
        <is>
          <t>Making the website changes the client listed in a document.</t>
        </is>
      </c>
      <c r="F15" s="16" t="inlineStr">
        <is>
          <t>completed</t>
        </is>
      </c>
      <c r="G15" s="18" t="n">
        <v>0</v>
      </c>
      <c r="H15" s="18" t="n">
        <v>0</v>
      </c>
      <c r="I15" s="18">
        <f>G15+H15</f>
        <v/>
      </c>
      <c r="J15" s="18" t="n">
        <v>0.3333333333333333</v>
      </c>
      <c r="K15" s="19">
        <f>IF(J15&gt;=I15,"+","-")&amp;TEXT(ABS(J15-I15),"[h]""h"" mm""m""")</f>
        <v/>
      </c>
    </row>
    <row r="16">
      <c r="A16" s="16" t="inlineStr">
        <is>
          <t>Wk5  31 Aug–06 Sep</t>
        </is>
      </c>
      <c r="B16" s="16" t="inlineStr">
        <is>
          <t>Abbas Khan</t>
        </is>
      </c>
      <c r="C16" s="16" t="inlineStr">
        <is>
          <t>Linknbit</t>
        </is>
      </c>
      <c r="D16" s="17" t="inlineStr">
        <is>
          <t>Shoot Reels to edit</t>
        </is>
      </c>
      <c r="E16" s="17" t="inlineStr">
        <is>
          <t>Shooting and editing two reels for our socials.</t>
        </is>
      </c>
      <c r="F16" s="16" t="inlineStr">
        <is>
          <t>approved</t>
        </is>
      </c>
      <c r="G16" s="18" t="n">
        <v>0.005555555555555556</v>
      </c>
      <c r="H16" s="18" t="n">
        <v>0</v>
      </c>
      <c r="I16" s="18">
        <f>G16+H16</f>
        <v/>
      </c>
      <c r="J16" s="18" t="n">
        <v>0</v>
      </c>
      <c r="K16" s="19">
        <f>IF(J16&gt;=I16,"+","-")&amp;TEXT(ABS(J16-I16),"[h]""h"" mm""m""")</f>
        <v/>
      </c>
    </row>
    <row r="17">
      <c r="A17" s="16" t="inlineStr">
        <is>
          <t>Wk5  31 Aug–06 Sep</t>
        </is>
      </c>
      <c r="B17" s="16" t="inlineStr">
        <is>
          <t>Yasir birlas</t>
        </is>
      </c>
      <c r="C17" s="16" t="inlineStr">
        <is>
          <t>Bright Amber</t>
        </is>
      </c>
      <c r="D17" s="17" t="inlineStr">
        <is>
          <t>Cookie Audit and Consent Banner</t>
        </is>
      </c>
      <c r="E17" s="17" t="inlineStr">
        <is>
          <t>Auditing cookies and adding a compliant consent banner.</t>
        </is>
      </c>
      <c r="F17" s="16" t="inlineStr">
        <is>
          <t>review</t>
        </is>
      </c>
      <c r="G17" s="18" t="n">
        <v>0.04513888888888889</v>
      </c>
      <c r="H17" s="18" t="n">
        <v>0</v>
      </c>
      <c r="I17" s="18">
        <f>G17+H17</f>
        <v/>
      </c>
      <c r="J17" s="18" t="n">
        <v>0.1145833333333333</v>
      </c>
      <c r="K17" s="19">
        <f>IF(J17&gt;=I17,"+","-")&amp;TEXT(ABS(J17-I17),"[h]""h"" mm""m""")</f>
        <v/>
      </c>
    </row>
    <row r="18">
      <c r="A18" s="16" t="inlineStr">
        <is>
          <t>Wk5  31 Aug–06 Sep</t>
        </is>
      </c>
      <c r="B18" s="16" t="inlineStr">
        <is>
          <t>Yasir birlas</t>
        </is>
      </c>
      <c r="C18" s="16" t="inlineStr">
        <is>
          <t>Bright Amber</t>
        </is>
      </c>
      <c r="D18" s="17" t="inlineStr">
        <is>
          <t>SEO Amendments</t>
        </is>
      </c>
      <c r="E18" s="17" t="inlineStr">
        <is>
          <t>Making the SEO changes listed in the subtasks.</t>
        </is>
      </c>
      <c r="F18" s="16" t="inlineStr">
        <is>
          <t>completed</t>
        </is>
      </c>
      <c r="G18" s="18" t="n">
        <v>0.02083333333333333</v>
      </c>
      <c r="H18" s="18" t="n">
        <v>0</v>
      </c>
      <c r="I18" s="18">
        <f>G18+H18</f>
        <v/>
      </c>
      <c r="J18" s="18" t="n">
        <v>0.1180555555555556</v>
      </c>
      <c r="K18" s="19">
        <f>IF(J18&gt;=I18,"+","-")&amp;TEXT(ABS(J18-I18),"[h]""h"" mm""m""")</f>
        <v/>
      </c>
    </row>
    <row r="19">
      <c r="A19" s="16" t="inlineStr">
        <is>
          <t>Wk5  31 Aug–06 Sep</t>
        </is>
      </c>
      <c r="B19" s="16" t="inlineStr">
        <is>
          <t>Yasir birlas</t>
        </is>
      </c>
      <c r="C19" s="16" t="inlineStr">
        <is>
          <t>Rise of Burges</t>
        </is>
      </c>
      <c r="D19" s="17" t="inlineStr">
        <is>
          <t>Translate Meta Description</t>
        </is>
      </c>
      <c r="E19" s="17" t="inlineStr">
        <is>
          <t>Translating every page's meta description into Dutch.</t>
        </is>
      </c>
      <c r="F19" s="16" t="inlineStr">
        <is>
          <t>completed</t>
        </is>
      </c>
      <c r="G19" s="18" t="n">
        <v>0</v>
      </c>
      <c r="H19" s="18" t="n">
        <v>0</v>
      </c>
      <c r="I19" s="18">
        <f>G19+H19</f>
        <v/>
      </c>
      <c r="J19" s="18" t="n">
        <v>0</v>
      </c>
      <c r="K19" s="19">
        <f>IF(J19&gt;=I19,"+","-")&amp;TEXT(ABS(J19-I19),"[h]""h"" mm""m""")</f>
        <v/>
      </c>
    </row>
    <row r="20">
      <c r="A20" s="16" t="inlineStr">
        <is>
          <t>Wk5  31 Aug–06 Sep</t>
        </is>
      </c>
      <c r="B20" s="16" t="inlineStr">
        <is>
          <t>Yasir birlas</t>
        </is>
      </c>
      <c r="C20" s="16" t="inlineStr">
        <is>
          <t>Dansing Academy</t>
        </is>
      </c>
      <c r="D20" s="17" t="inlineStr">
        <is>
          <t>Website Amendments</t>
        </is>
      </c>
      <c r="E20" s="17" t="inlineStr">
        <is>
          <t>Making the website changes the client listed in a document.</t>
        </is>
      </c>
      <c r="F20" s="16" t="inlineStr">
        <is>
          <t>completed</t>
        </is>
      </c>
      <c r="G20" s="18" t="n">
        <v>0</v>
      </c>
      <c r="H20" s="18" t="n">
        <v>0</v>
      </c>
      <c r="I20" s="18">
        <f>G20+H20</f>
        <v/>
      </c>
      <c r="J20" s="18" t="n">
        <v>0.06597222222222222</v>
      </c>
      <c r="K20" s="19">
        <f>IF(J20&gt;=I20,"+","-")&amp;TEXT(ABS(J20-I20),"[h]""h"" mm""m""")</f>
        <v/>
      </c>
    </row>
    <row r="21">
      <c r="A21" s="16" t="inlineStr">
        <is>
          <t>Wk7  14 Sep–20 Sep</t>
        </is>
      </c>
      <c r="B21" s="16" t="inlineStr">
        <is>
          <t>Yasir birlas</t>
        </is>
      </c>
      <c r="C21" s="16" t="inlineStr">
        <is>
          <t>Starr Luxury Jets</t>
        </is>
      </c>
      <c r="D21" s="17" t="inlineStr">
        <is>
          <t>Home Page Content Writing</t>
        </is>
      </c>
      <c r="E21" s="17" t="inlineStr">
        <is>
          <t>Writing the homepage copy to drive quote requests.</t>
        </is>
      </c>
      <c r="F21" s="16" t="inlineStr">
        <is>
          <t>backlog</t>
        </is>
      </c>
      <c r="G21" s="18" t="n">
        <v>0</v>
      </c>
      <c r="H21" s="18" t="n">
        <v>0.2013888888888889</v>
      </c>
      <c r="I21" s="18">
        <f>G21+H21</f>
        <v/>
      </c>
      <c r="J21" s="18" t="n">
        <v>0</v>
      </c>
      <c r="K21" s="19">
        <f>IF(J21&gt;=I21,"+","-")&amp;TEXT(ABS(J21-I21),"[h]""h"" mm""m""")</f>
        <v/>
      </c>
    </row>
    <row r="22">
      <c r="A22" s="16" t="inlineStr">
        <is>
          <t>Wk7  14 Sep–20 Sep</t>
        </is>
      </c>
      <c r="B22" s="16" t="inlineStr">
        <is>
          <t>Yasir birlas</t>
        </is>
      </c>
      <c r="C22" s="16" t="inlineStr">
        <is>
          <t>Starr Luxury Jets</t>
        </is>
      </c>
      <c r="D22" s="17" t="inlineStr">
        <is>
          <t>Pravite Charter Jet  (How It Works) - CW</t>
        </is>
      </c>
      <c r="E22" s="17" t="inlineStr">
        <is>
          <t>Copy explaining the charter process to first-time flyers.</t>
        </is>
      </c>
      <c r="F22" s="16" t="inlineStr">
        <is>
          <t>backlog</t>
        </is>
      </c>
      <c r="G22" s="18" t="n">
        <v>0</v>
      </c>
      <c r="H22" s="18" t="n">
        <v>0.1284722222222222</v>
      </c>
      <c r="I22" s="18">
        <f>G22+H22</f>
        <v/>
      </c>
      <c r="J22" s="18" t="n">
        <v>0</v>
      </c>
      <c r="K22" s="19">
        <f>IF(J22&gt;=I22,"+","-")&amp;TEXT(ABS(J22-I22),"[h]""h"" mm""m""")</f>
        <v/>
      </c>
    </row>
    <row r="23">
      <c r="A23" s="20" t="n"/>
      <c r="B23" s="20" t="n"/>
      <c r="C23" s="20" t="n"/>
      <c r="D23" s="20" t="inlineStr">
        <is>
          <t>TOTAL</t>
        </is>
      </c>
      <c r="E23" s="20" t="n"/>
      <c r="F23" s="20" t="n"/>
      <c r="G23" s="21">
        <f>SUM(G4:G22)</f>
        <v/>
      </c>
      <c r="H23" s="21">
        <f>SUM(H4:H22)</f>
        <v/>
      </c>
      <c r="I23" s="21">
        <f>SUM(I4:I22)</f>
        <v/>
      </c>
      <c r="J23" s="21">
        <f>SUM(J4:J22)</f>
        <v/>
      </c>
      <c r="K23" s="22">
        <f>IF(J23&gt;=I23,"+","-")&amp;TEXT(ABS(J23-I23),"[h]""h"" mm""m""")</f>
        <v/>
      </c>
    </row>
  </sheetData>
  <autoFilter ref="A3:K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4" customWidth="1" min="4" max="4"/>
    <col width="54" customWidth="1" min="5" max="5"/>
    <col width="12" customWidth="1" min="6" max="6"/>
    <col width="9" customWidth="1" min="7" max="7"/>
    <col width="9" customWidth="1" min="8" max="8"/>
    <col width="11" customWidth="1" min="9" max="9"/>
    <col width="10" customWidth="1" min="10" max="10"/>
    <col width="11" customWidth="1" min="11" max="11"/>
  </cols>
  <sheetData>
    <row r="1">
      <c r="A1" s="6" t="inlineStr">
        <is>
          <t>Unlinked Standup — task detail by week</t>
        </is>
      </c>
    </row>
    <row r="2">
      <c r="A2" s="23" t="inlineStr">
        <is>
          <t>These standup entries were typed as free text with no task attached. 506.4 hours — 34% of all standup time. They cannot be checked against any timer, and they are the main reason the two sources disagree.</t>
        </is>
      </c>
    </row>
    <row r="3" ht="3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16" t="inlineStr">
        <is>
          <t>Wk1  03 Aug–09 Aug</t>
        </is>
      </c>
      <c r="B4" s="16" t="inlineStr">
        <is>
          <t>Abbas Khan</t>
        </is>
      </c>
      <c r="C4" s="16" t="inlineStr">
        <is>
          <t>—</t>
        </is>
      </c>
      <c r="D4" s="17" t="inlineStr">
        <is>
          <t>Zedan</t>
        </is>
      </c>
      <c r="E4" s="17" t="inlineStr">
        <is>
          <t>General ongoing work on the Zedan shoe brand store.</t>
        </is>
      </c>
      <c r="F4" s="16" t="inlineStr">
        <is>
          <t>—</t>
        </is>
      </c>
      <c r="G4" s="18" t="n">
        <v>0</v>
      </c>
      <c r="H4" s="18" t="n">
        <v>0</v>
      </c>
      <c r="I4" s="18">
        <f>G4+H4</f>
        <v/>
      </c>
      <c r="J4" s="18" t="n">
        <v>1.208333333333333</v>
      </c>
      <c r="K4" s="19">
        <f>IF(J4&gt;=I4,"+","-")&amp;TEXT(ABS(J4-I4),"[h]""h"" mm""m""")</f>
        <v/>
      </c>
    </row>
    <row r="5">
      <c r="A5" s="16" t="inlineStr">
        <is>
          <t>Wk1  03 Aug–09 Aug</t>
        </is>
      </c>
      <c r="B5" s="16" t="inlineStr">
        <is>
          <t>Atta Ul Mustafa Saad</t>
        </is>
      </c>
      <c r="C5" s="16" t="inlineStr">
        <is>
          <t>—</t>
        </is>
      </c>
      <c r="D5" s="17" t="inlineStr">
        <is>
          <t>UV Sample book</t>
        </is>
      </c>
      <c r="E5" s="17" t="inlineStr">
        <is>
          <t>Producing the UV sample book artwork.</t>
        </is>
      </c>
      <c r="F5" s="16" t="inlineStr">
        <is>
          <t>—</t>
        </is>
      </c>
      <c r="G5" s="18" t="n">
        <v>0</v>
      </c>
      <c r="H5" s="18" t="n">
        <v>0</v>
      </c>
      <c r="I5" s="18">
        <f>G5+H5</f>
        <v/>
      </c>
      <c r="J5" s="18" t="n">
        <v>0.8125</v>
      </c>
      <c r="K5" s="19">
        <f>IF(J5&gt;=I5,"+","-")&amp;TEXT(ABS(J5-I5),"[h]""h"" mm""m""")</f>
        <v/>
      </c>
    </row>
    <row r="6">
      <c r="A6" s="16" t="inlineStr">
        <is>
          <t>Wk1  03 Aug–09 Aug</t>
        </is>
      </c>
      <c r="B6" s="16" t="inlineStr">
        <is>
          <t>Maaz Tareen</t>
        </is>
      </c>
      <c r="C6" s="16" t="inlineStr">
        <is>
          <t>—</t>
        </is>
      </c>
      <c r="D6" s="17" t="inlineStr">
        <is>
          <t>Zedan</t>
        </is>
      </c>
      <c r="E6" s="17" t="inlineStr">
        <is>
          <t>General ongoing work on the Zedan shoe brand store.</t>
        </is>
      </c>
      <c r="F6" s="16" t="inlineStr">
        <is>
          <t>—</t>
        </is>
      </c>
      <c r="G6" s="18" t="n">
        <v>0</v>
      </c>
      <c r="H6" s="18" t="n">
        <v>0</v>
      </c>
      <c r="I6" s="18">
        <f>G6+H6</f>
        <v/>
      </c>
      <c r="J6" s="18" t="n">
        <v>1.197916666666667</v>
      </c>
      <c r="K6" s="19">
        <f>IF(J6&gt;=I6,"+","-")&amp;TEXT(ABS(J6-I6),"[h]""h"" mm""m""")</f>
        <v/>
      </c>
    </row>
    <row r="7">
      <c r="A7" s="16" t="inlineStr">
        <is>
          <t>Wk1  03 Aug–09 Aug</t>
        </is>
      </c>
      <c r="B7" s="16" t="inlineStr">
        <is>
          <t>Muhammad Yahya</t>
        </is>
      </c>
      <c r="C7" s="16" t="inlineStr">
        <is>
          <t>—</t>
        </is>
      </c>
      <c r="D7" s="17" t="inlineStr">
        <is>
          <t>Zedan website Design &amp; Dev</t>
        </is>
      </c>
      <c r="E7" s="17" t="inlineStr">
        <is>
          <t>Designing and building the Zedan website.</t>
        </is>
      </c>
      <c r="F7" s="16" t="inlineStr">
        <is>
          <t>—</t>
        </is>
      </c>
      <c r="G7" s="18" t="n">
        <v>0</v>
      </c>
      <c r="H7" s="18" t="n">
        <v>0</v>
      </c>
      <c r="I7" s="18">
        <f>G7+H7</f>
        <v/>
      </c>
      <c r="J7" s="18" t="n">
        <v>1.291666666666667</v>
      </c>
      <c r="K7" s="19">
        <f>IF(J7&gt;=I7,"+","-")&amp;TEXT(ABS(J7-I7),"[h]""h"" mm""m""")</f>
        <v/>
      </c>
    </row>
    <row r="8">
      <c r="A8" s="16" t="inlineStr">
        <is>
          <t>Wk1  03 Aug–09 Aug</t>
        </is>
      </c>
      <c r="B8" s="16" t="inlineStr">
        <is>
          <t>Sajawal Khan</t>
        </is>
      </c>
      <c r="C8" s="16" t="inlineStr">
        <is>
          <t>—</t>
        </is>
      </c>
      <c r="D8" s="17" t="inlineStr">
        <is>
          <t>Zedan website Design &amp; Dev</t>
        </is>
      </c>
      <c r="E8" s="17" t="inlineStr">
        <is>
          <t>Designing and building the Zedan website.</t>
        </is>
      </c>
      <c r="F8" s="16" t="inlineStr">
        <is>
          <t>—</t>
        </is>
      </c>
      <c r="G8" s="18" t="n">
        <v>0</v>
      </c>
      <c r="H8" s="18" t="n">
        <v>0</v>
      </c>
      <c r="I8" s="18">
        <f>G8+H8</f>
        <v/>
      </c>
      <c r="J8" s="18" t="n">
        <v>0.9375</v>
      </c>
      <c r="K8" s="19">
        <f>IF(J8&gt;=I8,"+","-")&amp;TEXT(ABS(J8-I8),"[h]""h"" mm""m""")</f>
        <v/>
      </c>
    </row>
    <row r="9">
      <c r="A9" s="16" t="inlineStr">
        <is>
          <t>Wk1  03 Aug–09 Aug</t>
        </is>
      </c>
      <c r="B9" s="16" t="inlineStr">
        <is>
          <t>Yasir birlas</t>
        </is>
      </c>
      <c r="C9" s="16" t="inlineStr">
        <is>
          <t>—</t>
        </is>
      </c>
      <c r="D9" s="17" t="inlineStr">
        <is>
          <t>Neowall</t>
        </is>
      </c>
      <c r="E9" s="17" t="inlineStr">
        <is>
          <t>General ongoing work on the Neowall cladding website.</t>
        </is>
      </c>
      <c r="F9" s="16" t="inlineStr">
        <is>
          <t>—</t>
        </is>
      </c>
      <c r="G9" s="18" t="n">
        <v>0</v>
      </c>
      <c r="H9" s="18" t="n">
        <v>0</v>
      </c>
      <c r="I9" s="18">
        <f>G9+H9</f>
        <v/>
      </c>
      <c r="J9" s="18" t="n">
        <v>0.9965277777777778</v>
      </c>
      <c r="K9" s="19">
        <f>IF(J9&gt;=I9,"+","-")&amp;TEXT(ABS(J9-I9),"[h]""h"" mm""m""")</f>
        <v/>
      </c>
    </row>
    <row r="10">
      <c r="A10" s="16" t="inlineStr">
        <is>
          <t>Wk1  03 Aug–09 Aug</t>
        </is>
      </c>
      <c r="B10" s="16" t="inlineStr">
        <is>
          <t>Zain Malik</t>
        </is>
      </c>
      <c r="C10" s="16" t="inlineStr">
        <is>
          <t>—</t>
        </is>
      </c>
      <c r="D10" s="17" t="inlineStr">
        <is>
          <t>Linknbit Portal</t>
        </is>
      </c>
      <c r="E10" s="17" t="inlineStr">
        <is>
          <t>Work on our own internal staff portal.</t>
        </is>
      </c>
      <c r="F10" s="16" t="inlineStr">
        <is>
          <t>—</t>
        </is>
      </c>
      <c r="G10" s="18" t="n">
        <v>0</v>
      </c>
      <c r="H10" s="18" t="n">
        <v>0</v>
      </c>
      <c r="I10" s="18">
        <f>G10+H10</f>
        <v/>
      </c>
      <c r="J10" s="18" t="n">
        <v>1</v>
      </c>
      <c r="K10" s="19">
        <f>IF(J10&gt;=I10,"+","-")&amp;TEXT(ABS(J10-I10),"[h]""h"" mm""m""")</f>
        <v/>
      </c>
    </row>
    <row r="11">
      <c r="A11" s="16" t="inlineStr">
        <is>
          <t>Wk1  03 Aug–09 Aug</t>
        </is>
      </c>
      <c r="B11" s="16" t="inlineStr">
        <is>
          <t>khizer hayat</t>
        </is>
      </c>
      <c r="C11" s="16" t="inlineStr">
        <is>
          <t>—</t>
        </is>
      </c>
      <c r="D11" s="17" t="inlineStr">
        <is>
          <t>Zedan website Design &amp; Dev</t>
        </is>
      </c>
      <c r="E11" s="17" t="inlineStr">
        <is>
          <t>Designing and building the Zedan website.</t>
        </is>
      </c>
      <c r="F11" s="16" t="inlineStr">
        <is>
          <t>—</t>
        </is>
      </c>
      <c r="G11" s="18" t="n">
        <v>0</v>
      </c>
      <c r="H11" s="18" t="n">
        <v>0</v>
      </c>
      <c r="I11" s="18">
        <f>G11+H11</f>
        <v/>
      </c>
      <c r="J11" s="18" t="n">
        <v>0.4583333333333333</v>
      </c>
      <c r="K11" s="19">
        <f>IF(J11&gt;=I11,"+","-")&amp;TEXT(ABS(J11-I11),"[h]""h"" mm""m""")</f>
        <v/>
      </c>
    </row>
    <row r="12">
      <c r="A12" s="16" t="inlineStr">
        <is>
          <t>Wk2  10 Aug–16 Aug</t>
        </is>
      </c>
      <c r="B12" s="16" t="inlineStr">
        <is>
          <t>Abbas Khan</t>
        </is>
      </c>
      <c r="C12" s="16" t="inlineStr">
        <is>
          <t>—</t>
        </is>
      </c>
      <c r="D12" s="17" t="inlineStr">
        <is>
          <t>Zedan</t>
        </is>
      </c>
      <c r="E12" s="17" t="inlineStr">
        <is>
          <t>General ongoing work on the Zedan shoe brand store.</t>
        </is>
      </c>
      <c r="F12" s="16" t="inlineStr">
        <is>
          <t>—</t>
        </is>
      </c>
      <c r="G12" s="18" t="n">
        <v>0</v>
      </c>
      <c r="H12" s="18" t="n">
        <v>0</v>
      </c>
      <c r="I12" s="18">
        <f>G12+H12</f>
        <v/>
      </c>
      <c r="J12" s="18" t="n">
        <v>0.25</v>
      </c>
      <c r="K12" s="19">
        <f>IF(J12&gt;=I12,"+","-")&amp;TEXT(ABS(J12-I12),"[h]""h"" mm""m""")</f>
        <v/>
      </c>
    </row>
    <row r="13">
      <c r="A13" s="16" t="inlineStr">
        <is>
          <t>Wk2  10 Aug–16 Aug</t>
        </is>
      </c>
      <c r="B13" s="16" t="inlineStr">
        <is>
          <t>Atta Ul Mustafa Saad</t>
        </is>
      </c>
      <c r="C13" s="16" t="inlineStr">
        <is>
          <t>—</t>
        </is>
      </c>
      <c r="D13" s="17" t="inlineStr">
        <is>
          <t>Linknbit</t>
        </is>
      </c>
      <c r="E13" s="17" t="inlineStr">
        <is>
          <t>General ongoing work on our own Linknbit brand and marketing.</t>
        </is>
      </c>
      <c r="F13" s="16" t="inlineStr">
        <is>
          <t>—</t>
        </is>
      </c>
      <c r="G13" s="18" t="n">
        <v>0</v>
      </c>
      <c r="H13" s="18" t="n">
        <v>0</v>
      </c>
      <c r="I13" s="18">
        <f>G13+H13</f>
        <v/>
      </c>
      <c r="J13" s="18" t="n">
        <v>0.1666666666666667</v>
      </c>
      <c r="K13" s="19">
        <f>IF(J13&gt;=I13,"+","-")&amp;TEXT(ABS(J13-I13),"[h]""h"" mm""m""")</f>
        <v/>
      </c>
    </row>
    <row r="14">
      <c r="A14" s="16" t="inlineStr">
        <is>
          <t>Wk2  10 Aug–16 Aug</t>
        </is>
      </c>
      <c r="B14" s="16" t="inlineStr">
        <is>
          <t>Maaz Tareen</t>
        </is>
      </c>
      <c r="C14" s="16" t="inlineStr">
        <is>
          <t>—</t>
        </is>
      </c>
      <c r="D14" s="17" t="inlineStr">
        <is>
          <t>Zedan</t>
        </is>
      </c>
      <c r="E14" s="17" t="inlineStr">
        <is>
          <t>General ongoing work on the Zedan shoe brand store.</t>
        </is>
      </c>
      <c r="F14" s="16" t="inlineStr">
        <is>
          <t>—</t>
        </is>
      </c>
      <c r="G14" s="18" t="n">
        <v>0</v>
      </c>
      <c r="H14" s="18" t="n">
        <v>0</v>
      </c>
      <c r="I14" s="18">
        <f>G14+H14</f>
        <v/>
      </c>
      <c r="J14" s="18" t="n">
        <v>0.2083333333333333</v>
      </c>
      <c r="K14" s="19">
        <f>IF(J14&gt;=I14,"+","-")&amp;TEXT(ABS(J14-I14),"[h]""h"" mm""m""")</f>
        <v/>
      </c>
    </row>
    <row r="15">
      <c r="A15" s="16" t="inlineStr">
        <is>
          <t>Wk2  10 Aug–16 Aug</t>
        </is>
      </c>
      <c r="B15" s="16" t="inlineStr">
        <is>
          <t>Muhammad Yahya</t>
        </is>
      </c>
      <c r="C15" s="16" t="inlineStr">
        <is>
          <t>—</t>
        </is>
      </c>
      <c r="D15" s="17" t="inlineStr">
        <is>
          <t>Zedan</t>
        </is>
      </c>
      <c r="E15" s="17" t="inlineStr">
        <is>
          <t>General ongoing work on the Zedan shoe brand store.</t>
        </is>
      </c>
      <c r="F15" s="16" t="inlineStr">
        <is>
          <t>—</t>
        </is>
      </c>
      <c r="G15" s="18" t="n">
        <v>0</v>
      </c>
      <c r="H15" s="18" t="n">
        <v>0</v>
      </c>
      <c r="I15" s="18">
        <f>G15+H15</f>
        <v/>
      </c>
      <c r="J15" s="18" t="n">
        <v>0.625</v>
      </c>
      <c r="K15" s="19">
        <f>IF(J15&gt;=I15,"+","-")&amp;TEXT(ABS(J15-I15),"[h]""h"" mm""m""")</f>
        <v/>
      </c>
    </row>
    <row r="16">
      <c r="A16" s="16" t="inlineStr">
        <is>
          <t>Wk2  10 Aug–16 Aug</t>
        </is>
      </c>
      <c r="B16" s="16" t="inlineStr">
        <is>
          <t>Sajawal Khan</t>
        </is>
      </c>
      <c r="C16" s="16" t="inlineStr">
        <is>
          <t>—</t>
        </is>
      </c>
      <c r="D16" s="17" t="inlineStr">
        <is>
          <t>Neowall</t>
        </is>
      </c>
      <c r="E16" s="17" t="inlineStr">
        <is>
          <t>General ongoing work on the Neowall cladding website.</t>
        </is>
      </c>
      <c r="F16" s="16" t="inlineStr">
        <is>
          <t>—</t>
        </is>
      </c>
      <c r="G16" s="18" t="n">
        <v>0</v>
      </c>
      <c r="H16" s="18" t="n">
        <v>0</v>
      </c>
      <c r="I16" s="18">
        <f>G16+H16</f>
        <v/>
      </c>
      <c r="J16" s="18" t="n">
        <v>0.5416666666666666</v>
      </c>
      <c r="K16" s="19">
        <f>IF(J16&gt;=I16,"+","-")&amp;TEXT(ABS(J16-I16),"[h]""h"" mm""m""")</f>
        <v/>
      </c>
    </row>
    <row r="17">
      <c r="A17" s="16" t="inlineStr">
        <is>
          <t>Wk2  10 Aug–16 Aug</t>
        </is>
      </c>
      <c r="B17" s="16" t="inlineStr">
        <is>
          <t>Yasir birlas</t>
        </is>
      </c>
      <c r="C17" s="16" t="inlineStr">
        <is>
          <t>—</t>
        </is>
      </c>
      <c r="D17" s="17" t="inlineStr">
        <is>
          <t>Rise of Burges</t>
        </is>
      </c>
      <c r="E17" s="17" t="inlineStr">
        <is>
          <t>General ongoing work for the Rise of Burges client.</t>
        </is>
      </c>
      <c r="F17" s="16" t="inlineStr">
        <is>
          <t>—</t>
        </is>
      </c>
      <c r="G17" s="18" t="n">
        <v>0</v>
      </c>
      <c r="H17" s="18" t="n">
        <v>0</v>
      </c>
      <c r="I17" s="18">
        <f>G17+H17</f>
        <v/>
      </c>
      <c r="J17" s="18" t="n">
        <v>0.8125</v>
      </c>
      <c r="K17" s="19">
        <f>IF(J17&gt;=I17,"+","-")&amp;TEXT(ABS(J17-I17),"[h]""h"" mm""m""")</f>
        <v/>
      </c>
    </row>
    <row r="18">
      <c r="A18" s="16" t="inlineStr">
        <is>
          <t>Wk2  10 Aug–16 Aug</t>
        </is>
      </c>
      <c r="B18" s="16" t="inlineStr">
        <is>
          <t>Zain Malik</t>
        </is>
      </c>
      <c r="C18" s="16" t="inlineStr">
        <is>
          <t>—</t>
        </is>
      </c>
      <c r="D18" s="17" t="inlineStr">
        <is>
          <t>Linknbit Portal</t>
        </is>
      </c>
      <c r="E18" s="17" t="inlineStr">
        <is>
          <t>Work on our own internal staff portal.</t>
        </is>
      </c>
      <c r="F18" s="16" t="inlineStr">
        <is>
          <t>—</t>
        </is>
      </c>
      <c r="G18" s="18" t="n">
        <v>0</v>
      </c>
      <c r="H18" s="18" t="n">
        <v>0</v>
      </c>
      <c r="I18" s="18">
        <f>G18+H18</f>
        <v/>
      </c>
      <c r="J18" s="18" t="n">
        <v>0.6666666666666666</v>
      </c>
      <c r="K18" s="19">
        <f>IF(J18&gt;=I18,"+","-")&amp;TEXT(ABS(J18-I18),"[h]""h"" mm""m""")</f>
        <v/>
      </c>
    </row>
    <row r="19">
      <c r="A19" s="16" t="inlineStr">
        <is>
          <t>Wk3  17 Aug–23 Aug</t>
        </is>
      </c>
      <c r="B19" s="16" t="inlineStr">
        <is>
          <t>Abbas Khan</t>
        </is>
      </c>
      <c r="C19" s="16" t="inlineStr">
        <is>
          <t>—</t>
        </is>
      </c>
      <c r="D19" s="17" t="inlineStr">
        <is>
          <t>Amber Bright</t>
        </is>
      </c>
      <c r="E19" s="17" t="inlineStr">
        <is>
          <t>General ongoing work for Bright Amber.</t>
        </is>
      </c>
      <c r="F19" s="16" t="inlineStr">
        <is>
          <t>—</t>
        </is>
      </c>
      <c r="G19" s="18" t="n">
        <v>0</v>
      </c>
      <c r="H19" s="18" t="n">
        <v>0</v>
      </c>
      <c r="I19" s="18">
        <f>G19+H19</f>
        <v/>
      </c>
      <c r="J19" s="18" t="n">
        <v>0.125</v>
      </c>
      <c r="K19" s="19">
        <f>IF(J19&gt;=I19,"+","-")&amp;TEXT(ABS(J19-I19),"[h]""h"" mm""m""")</f>
        <v/>
      </c>
    </row>
    <row r="20">
      <c r="A20" s="16" t="inlineStr">
        <is>
          <t>Wk3  17 Aug–23 Aug</t>
        </is>
      </c>
      <c r="B20" s="16" t="inlineStr">
        <is>
          <t>Atta Ul Mustafa Saad</t>
        </is>
      </c>
      <c r="C20" s="16" t="inlineStr">
        <is>
          <t>—</t>
        </is>
      </c>
      <c r="D20" s="17" t="inlineStr">
        <is>
          <t>Linknbit Website</t>
        </is>
      </c>
      <c r="E20" s="17" t="inlineStr">
        <is>
          <t>General work on our own company website.</t>
        </is>
      </c>
      <c r="F20" s="16" t="inlineStr">
        <is>
          <t>—</t>
        </is>
      </c>
      <c r="G20" s="18" t="n">
        <v>0</v>
      </c>
      <c r="H20" s="18" t="n">
        <v>0</v>
      </c>
      <c r="I20" s="18">
        <f>G20+H20</f>
        <v/>
      </c>
      <c r="J20" s="18" t="n">
        <v>0.2708333333333333</v>
      </c>
      <c r="K20" s="19">
        <f>IF(J20&gt;=I20,"+","-")&amp;TEXT(ABS(J20-I20),"[h]""h"" mm""m""")</f>
        <v/>
      </c>
    </row>
    <row r="21">
      <c r="A21" s="16" t="inlineStr">
        <is>
          <t>Wk3  17 Aug–23 Aug</t>
        </is>
      </c>
      <c r="B21" s="16" t="inlineStr">
        <is>
          <t>Maaz Tareen</t>
        </is>
      </c>
      <c r="C21" s="16" t="inlineStr">
        <is>
          <t>—</t>
        </is>
      </c>
      <c r="D21" s="17" t="inlineStr">
        <is>
          <t>MAQx</t>
        </is>
      </c>
      <c r="E21" s="17" t="inlineStr">
        <is>
          <t>General ongoing work for the MAQx education client.</t>
        </is>
      </c>
      <c r="F21" s="16" t="inlineStr">
        <is>
          <t>—</t>
        </is>
      </c>
      <c r="G21" s="18" t="n">
        <v>0</v>
      </c>
      <c r="H21" s="18" t="n">
        <v>0</v>
      </c>
      <c r="I21" s="18">
        <f>G21+H21</f>
        <v/>
      </c>
      <c r="J21" s="18" t="n">
        <v>0.2916666666666667</v>
      </c>
      <c r="K21" s="19">
        <f>IF(J21&gt;=I21,"+","-")&amp;TEXT(ABS(J21-I21),"[h]""h"" mm""m""")</f>
        <v/>
      </c>
    </row>
    <row r="22">
      <c r="A22" s="16" t="inlineStr">
        <is>
          <t>Wk3  17 Aug–23 Aug</t>
        </is>
      </c>
      <c r="B22" s="16" t="inlineStr">
        <is>
          <t>Muhammad Yahya</t>
        </is>
      </c>
      <c r="C22" s="16" t="inlineStr">
        <is>
          <t>—</t>
        </is>
      </c>
      <c r="D22" s="17" t="inlineStr">
        <is>
          <t>Titan Forge</t>
        </is>
      </c>
      <c r="E22" s="17" t="inlineStr">
        <is>
          <t>General ongoing work on the Titan Forge website.</t>
        </is>
      </c>
      <c r="F22" s="16" t="inlineStr">
        <is>
          <t>—</t>
        </is>
      </c>
      <c r="G22" s="18" t="n">
        <v>0</v>
      </c>
      <c r="H22" s="18" t="n">
        <v>0</v>
      </c>
      <c r="I22" s="18">
        <f>G22+H22</f>
        <v/>
      </c>
      <c r="J22" s="18" t="n">
        <v>1.333333333333333</v>
      </c>
      <c r="K22" s="19">
        <f>IF(J22&gt;=I22,"+","-")&amp;TEXT(ABS(J22-I22),"[h]""h"" mm""m""")</f>
        <v/>
      </c>
    </row>
    <row r="23">
      <c r="A23" s="16" t="inlineStr">
        <is>
          <t>Wk3  17 Aug–23 Aug</t>
        </is>
      </c>
      <c r="B23" s="16" t="inlineStr">
        <is>
          <t>Noor Shahid</t>
        </is>
      </c>
      <c r="C23" s="16" t="inlineStr">
        <is>
          <t>—</t>
        </is>
      </c>
      <c r="D23" s="17" t="inlineStr">
        <is>
          <t>Zedan</t>
        </is>
      </c>
      <c r="E23" s="17" t="inlineStr">
        <is>
          <t>General ongoing work on the Zedan shoe brand store.</t>
        </is>
      </c>
      <c r="F23" s="16" t="inlineStr">
        <is>
          <t>—</t>
        </is>
      </c>
      <c r="G23" s="18" t="n">
        <v>0</v>
      </c>
      <c r="H23" s="18" t="n">
        <v>0</v>
      </c>
      <c r="I23" s="18">
        <f>G23+H23</f>
        <v/>
      </c>
      <c r="J23" s="18" t="n">
        <v>0.1041666666666667</v>
      </c>
      <c r="K23" s="19">
        <f>IF(J23&gt;=I23,"+","-")&amp;TEXT(ABS(J23-I23),"[h]""h"" mm""m""")</f>
        <v/>
      </c>
    </row>
    <row r="24">
      <c r="A24" s="16" t="inlineStr">
        <is>
          <t>Wk3  17 Aug–23 Aug</t>
        </is>
      </c>
      <c r="B24" s="16" t="inlineStr">
        <is>
          <t>Sajawal Khan</t>
        </is>
      </c>
      <c r="C24" s="16" t="inlineStr">
        <is>
          <t>—</t>
        </is>
      </c>
      <c r="D24" s="17" t="inlineStr">
        <is>
          <t>Builders Trade Depot</t>
        </is>
      </c>
      <c r="E24" s="17" t="inlineStr">
        <is>
          <t>General ongoing work for Builders Trade Depot.</t>
        </is>
      </c>
      <c r="F24" s="16" t="inlineStr">
        <is>
          <t>—</t>
        </is>
      </c>
      <c r="G24" s="18" t="n">
        <v>0</v>
      </c>
      <c r="H24" s="18" t="n">
        <v>0</v>
      </c>
      <c r="I24" s="18">
        <f>G24+H24</f>
        <v/>
      </c>
      <c r="J24" s="18" t="n">
        <v>0.5416666666666666</v>
      </c>
      <c r="K24" s="19">
        <f>IF(J24&gt;=I24,"+","-")&amp;TEXT(ABS(J24-I24),"[h]""h"" mm""m""")</f>
        <v/>
      </c>
    </row>
    <row r="25">
      <c r="A25" s="16" t="inlineStr">
        <is>
          <t>Wk3  17 Aug–23 Aug</t>
        </is>
      </c>
      <c r="B25" s="16" t="inlineStr">
        <is>
          <t>Yasir birlas</t>
        </is>
      </c>
      <c r="C25" s="16" t="inlineStr">
        <is>
          <t>—</t>
        </is>
      </c>
      <c r="D25" s="17" t="inlineStr">
        <is>
          <t>Neowall</t>
        </is>
      </c>
      <c r="E25" s="17" t="inlineStr">
        <is>
          <t>General ongoing work on the Neowall cladding website.</t>
        </is>
      </c>
      <c r="F25" s="16" t="inlineStr">
        <is>
          <t>—</t>
        </is>
      </c>
      <c r="G25" s="18" t="n">
        <v>0</v>
      </c>
      <c r="H25" s="18" t="n">
        <v>0</v>
      </c>
      <c r="I25" s="18">
        <f>G25+H25</f>
        <v/>
      </c>
      <c r="J25" s="18" t="n">
        <v>0.3958333333333333</v>
      </c>
      <c r="K25" s="19">
        <f>IF(J25&gt;=I25,"+","-")&amp;TEXT(ABS(J25-I25),"[h]""h"" mm""m""")</f>
        <v/>
      </c>
    </row>
    <row r="26">
      <c r="A26" s="16" t="inlineStr">
        <is>
          <t>Wk3  17 Aug–23 Aug</t>
        </is>
      </c>
      <c r="B26" s="16" t="inlineStr">
        <is>
          <t>Zain Malik</t>
        </is>
      </c>
      <c r="C26" s="16" t="inlineStr">
        <is>
          <t>—</t>
        </is>
      </c>
      <c r="D26" s="17" t="inlineStr">
        <is>
          <t>Cricket Sansar</t>
        </is>
      </c>
      <c r="E26" s="17" t="inlineStr">
        <is>
          <t>General ongoing work on the Cricket Sansar app.</t>
        </is>
      </c>
      <c r="F26" s="16" t="inlineStr">
        <is>
          <t>—</t>
        </is>
      </c>
      <c r="G26" s="18" t="n">
        <v>0</v>
      </c>
      <c r="H26" s="18" t="n">
        <v>0</v>
      </c>
      <c r="I26" s="18">
        <f>G26+H26</f>
        <v/>
      </c>
      <c r="J26" s="18" t="n">
        <v>0.6666666666666666</v>
      </c>
      <c r="K26" s="19">
        <f>IF(J26&gt;=I26,"+","-")&amp;TEXT(ABS(J26-I26),"[h]""h"" mm""m""")</f>
        <v/>
      </c>
    </row>
    <row r="27">
      <c r="A27" s="16" t="inlineStr">
        <is>
          <t>Wk3  17 Aug–23 Aug</t>
        </is>
      </c>
      <c r="B27" s="16" t="inlineStr">
        <is>
          <t>khizer hayat</t>
        </is>
      </c>
      <c r="C27" s="16" t="inlineStr">
        <is>
          <t>—</t>
        </is>
      </c>
      <c r="D27" s="17" t="inlineStr">
        <is>
          <t>Builders Trade Depot</t>
        </is>
      </c>
      <c r="E27" s="17" t="inlineStr">
        <is>
          <t>General ongoing work for Builders Trade Depot.</t>
        </is>
      </c>
      <c r="F27" s="16" t="inlineStr">
        <is>
          <t>—</t>
        </is>
      </c>
      <c r="G27" s="18" t="n">
        <v>0</v>
      </c>
      <c r="H27" s="18" t="n">
        <v>0</v>
      </c>
      <c r="I27" s="18">
        <f>G27+H27</f>
        <v/>
      </c>
      <c r="J27" s="18" t="n">
        <v>0.125</v>
      </c>
      <c r="K27" s="19">
        <f>IF(J27&gt;=I27,"+","-")&amp;TEXT(ABS(J27-I27),"[h]""h"" mm""m""")</f>
        <v/>
      </c>
    </row>
    <row r="28">
      <c r="A28" s="16" t="inlineStr">
        <is>
          <t>Wk4  24 Aug–30 Aug</t>
        </is>
      </c>
      <c r="B28" s="16" t="inlineStr">
        <is>
          <t>Abbas Khan</t>
        </is>
      </c>
      <c r="C28" s="16" t="inlineStr">
        <is>
          <t>—</t>
        </is>
      </c>
      <c r="D28" s="17" t="inlineStr">
        <is>
          <t>Learning</t>
        </is>
      </c>
      <c r="E28" s="17" t="inlineStr">
        <is>
          <t>General training and upskilling time.</t>
        </is>
      </c>
      <c r="F28" s="16" t="inlineStr">
        <is>
          <t>—</t>
        </is>
      </c>
      <c r="G28" s="18" t="n">
        <v>0</v>
      </c>
      <c r="H28" s="18" t="n">
        <v>0</v>
      </c>
      <c r="I28" s="18">
        <f>G28+H28</f>
        <v/>
      </c>
      <c r="J28" s="18" t="n">
        <v>0.4722222222222222</v>
      </c>
      <c r="K28" s="19">
        <f>IF(J28&gt;=I28,"+","-")&amp;TEXT(ABS(J28-I28),"[h]""h"" mm""m""")</f>
        <v/>
      </c>
    </row>
    <row r="29">
      <c r="A29" s="16" t="inlineStr">
        <is>
          <t>Wk4  24 Aug–30 Aug</t>
        </is>
      </c>
      <c r="B29" s="16" t="inlineStr">
        <is>
          <t>Atta Ul Mustafa Saad</t>
        </is>
      </c>
      <c r="C29" s="16" t="inlineStr">
        <is>
          <t>—</t>
        </is>
      </c>
      <c r="D29" s="17" t="inlineStr">
        <is>
          <t>Capital Car Finance (CCF)</t>
        </is>
      </c>
      <c r="E29" s="17" t="inlineStr">
        <is>
          <t>General ongoing work for Capital Car Finance.</t>
        </is>
      </c>
      <c r="F29" s="16" t="inlineStr">
        <is>
          <t>—</t>
        </is>
      </c>
      <c r="G29" s="18" t="n">
        <v>0</v>
      </c>
      <c r="H29" s="18" t="n">
        <v>0</v>
      </c>
      <c r="I29" s="18">
        <f>G29+H29</f>
        <v/>
      </c>
      <c r="J29" s="18" t="n">
        <v>0.2083333333333333</v>
      </c>
      <c r="K29" s="19">
        <f>IF(J29&gt;=I29,"+","-")&amp;TEXT(ABS(J29-I29),"[h]""h"" mm""m""")</f>
        <v/>
      </c>
    </row>
    <row r="30">
      <c r="A30" s="16" t="inlineStr">
        <is>
          <t>Wk4  24 Aug–30 Aug</t>
        </is>
      </c>
      <c r="B30" s="16" t="inlineStr">
        <is>
          <t>Mahnoor Khalid</t>
        </is>
      </c>
      <c r="C30" s="16" t="inlineStr">
        <is>
          <t>—</t>
        </is>
      </c>
      <c r="D30" s="17" t="inlineStr">
        <is>
          <t>MAQx</t>
        </is>
      </c>
      <c r="E30" s="17" t="inlineStr">
        <is>
          <t>General ongoing work for the MAQx education client.</t>
        </is>
      </c>
      <c r="F30" s="16" t="inlineStr">
        <is>
          <t>—</t>
        </is>
      </c>
      <c r="G30" s="18" t="n">
        <v>0</v>
      </c>
      <c r="H30" s="18" t="n">
        <v>0</v>
      </c>
      <c r="I30" s="18">
        <f>G30+H30</f>
        <v/>
      </c>
      <c r="J30" s="18" t="n">
        <v>1</v>
      </c>
      <c r="K30" s="19">
        <f>IF(J30&gt;=I30,"+","-")&amp;TEXT(ABS(J30-I30),"[h]""h"" mm""m""")</f>
        <v/>
      </c>
    </row>
    <row r="31">
      <c r="A31" s="16" t="inlineStr">
        <is>
          <t>Wk4  24 Aug–30 Aug</t>
        </is>
      </c>
      <c r="B31" s="16" t="inlineStr">
        <is>
          <t>Muhammad Yahya</t>
        </is>
      </c>
      <c r="C31" s="16" t="inlineStr">
        <is>
          <t>—</t>
        </is>
      </c>
      <c r="D31" s="17" t="inlineStr">
        <is>
          <t>Titan Forge</t>
        </is>
      </c>
      <c r="E31" s="17" t="inlineStr">
        <is>
          <t>General ongoing work on the Titan Forge website.</t>
        </is>
      </c>
      <c r="F31" s="16" t="inlineStr">
        <is>
          <t>—</t>
        </is>
      </c>
      <c r="G31" s="18" t="n">
        <v>0</v>
      </c>
      <c r="H31" s="18" t="n">
        <v>0</v>
      </c>
      <c r="I31" s="18">
        <f>G31+H31</f>
        <v/>
      </c>
      <c r="J31" s="18" t="n">
        <v>0.6666666666666666</v>
      </c>
      <c r="K31" s="19">
        <f>IF(J31&gt;=I31,"+","-")&amp;TEXT(ABS(J31-I31),"[h]""h"" mm""m""")</f>
        <v/>
      </c>
    </row>
    <row r="32">
      <c r="A32" s="16" t="inlineStr">
        <is>
          <t>Wk5  31 Aug–06 Sep</t>
        </is>
      </c>
      <c r="B32" s="16" t="inlineStr">
        <is>
          <t>Abbas Khan</t>
        </is>
      </c>
      <c r="C32" s="16" t="inlineStr">
        <is>
          <t>—</t>
        </is>
      </c>
      <c r="D32" s="17" t="inlineStr">
        <is>
          <t>Learning</t>
        </is>
      </c>
      <c r="E32" s="17" t="inlineStr">
        <is>
          <t>General training and upskilling time.</t>
        </is>
      </c>
      <c r="F32" s="16" t="inlineStr">
        <is>
          <t>—</t>
        </is>
      </c>
      <c r="G32" s="18" t="n">
        <v>0</v>
      </c>
      <c r="H32" s="18" t="n">
        <v>0</v>
      </c>
      <c r="I32" s="18">
        <f>G32+H32</f>
        <v/>
      </c>
      <c r="J32" s="18" t="n">
        <v>0.25</v>
      </c>
      <c r="K32" s="19">
        <f>IF(J32&gt;=I32,"+","-")&amp;TEXT(ABS(J32-I32),"[h]""h"" mm""m""")</f>
        <v/>
      </c>
    </row>
    <row r="33">
      <c r="A33" s="16" t="inlineStr">
        <is>
          <t>Wk5  31 Aug–06 Sep</t>
        </is>
      </c>
      <c r="B33" s="16" t="inlineStr">
        <is>
          <t>Maaz Tareen</t>
        </is>
      </c>
      <c r="C33" s="16" t="inlineStr">
        <is>
          <t>—</t>
        </is>
      </c>
      <c r="D33" s="17" t="inlineStr">
        <is>
          <t>Greta Grove Ad creatives Design</t>
        </is>
      </c>
      <c r="E33" s="17" t="inlineStr">
        <is>
          <t>Designing Greta Grove ad creatives.</t>
        </is>
      </c>
      <c r="F33" s="16" t="inlineStr">
        <is>
          <t>—</t>
        </is>
      </c>
      <c r="G33" s="18" t="n">
        <v>0</v>
      </c>
      <c r="H33" s="18" t="n">
        <v>0</v>
      </c>
      <c r="I33" s="18">
        <f>G33+H33</f>
        <v/>
      </c>
      <c r="J33" s="18" t="n">
        <v>0.03263888888888889</v>
      </c>
      <c r="K33" s="19">
        <f>IF(J33&gt;=I33,"+","-")&amp;TEXT(ABS(J33-I33),"[h]""h"" mm""m""")</f>
        <v/>
      </c>
    </row>
    <row r="34">
      <c r="A34" s="16" t="inlineStr">
        <is>
          <t>Wk5  31 Aug–06 Sep</t>
        </is>
      </c>
      <c r="B34" s="16" t="inlineStr">
        <is>
          <t>Mahnoor Khalid</t>
        </is>
      </c>
      <c r="C34" s="16" t="inlineStr">
        <is>
          <t>—</t>
        </is>
      </c>
      <c r="D34" s="17" t="inlineStr">
        <is>
          <t>Linknbit</t>
        </is>
      </c>
      <c r="E34" s="17" t="inlineStr">
        <is>
          <t>General ongoing work on our own Linknbit brand and marketing.</t>
        </is>
      </c>
      <c r="F34" s="16" t="inlineStr">
        <is>
          <t>—</t>
        </is>
      </c>
      <c r="G34" s="18" t="n">
        <v>0</v>
      </c>
      <c r="H34" s="18" t="n">
        <v>0</v>
      </c>
      <c r="I34" s="18">
        <f>G34+H34</f>
        <v/>
      </c>
      <c r="J34" s="18" t="n">
        <v>0.6666666666666666</v>
      </c>
      <c r="K34" s="19">
        <f>IF(J34&gt;=I34,"+","-")&amp;TEXT(ABS(J34-I34),"[h]""h"" mm""m""")</f>
        <v/>
      </c>
    </row>
    <row r="35">
      <c r="A35" s="16" t="inlineStr">
        <is>
          <t>Wk5  31 Aug–06 Sep</t>
        </is>
      </c>
      <c r="B35" s="16" t="inlineStr">
        <is>
          <t>Muhammad Yahya</t>
        </is>
      </c>
      <c r="C35" s="16" t="inlineStr">
        <is>
          <t>—</t>
        </is>
      </c>
      <c r="D35" s="17" t="inlineStr">
        <is>
          <t>Titan Forge</t>
        </is>
      </c>
      <c r="E35" s="17" t="inlineStr">
        <is>
          <t>General ongoing work on the Titan Forge website.</t>
        </is>
      </c>
      <c r="F35" s="16" t="inlineStr">
        <is>
          <t>—</t>
        </is>
      </c>
      <c r="G35" s="18" t="n">
        <v>0</v>
      </c>
      <c r="H35" s="18" t="n">
        <v>0</v>
      </c>
      <c r="I35" s="18">
        <f>G35+H35</f>
        <v/>
      </c>
      <c r="J35" s="18" t="n">
        <v>1.208333333333333</v>
      </c>
      <c r="K35" s="19">
        <f>IF(J35&gt;=I35,"+","-")&amp;TEXT(ABS(J35-I35),"[h]""h"" mm""m""")</f>
        <v/>
      </c>
    </row>
    <row r="36">
      <c r="A36" s="16" t="inlineStr">
        <is>
          <t>Wk5  31 Aug–06 Sep</t>
        </is>
      </c>
      <c r="B36" s="16" t="inlineStr">
        <is>
          <t>Sajawal Khan</t>
        </is>
      </c>
      <c r="C36" s="16" t="inlineStr">
        <is>
          <t>—</t>
        </is>
      </c>
      <c r="D36" s="17" t="inlineStr">
        <is>
          <t>Zedan</t>
        </is>
      </c>
      <c r="E36" s="17" t="inlineStr">
        <is>
          <t>General ongoing work on the Zedan shoe brand store.</t>
        </is>
      </c>
      <c r="F36" s="16" t="inlineStr">
        <is>
          <t>—</t>
        </is>
      </c>
      <c r="G36" s="18" t="n">
        <v>0</v>
      </c>
      <c r="H36" s="18" t="n">
        <v>0</v>
      </c>
      <c r="I36" s="18">
        <f>G36+H36</f>
        <v/>
      </c>
      <c r="J36" s="18" t="n">
        <v>0.375</v>
      </c>
      <c r="K36" s="19">
        <f>IF(J36&gt;=I36,"+","-")&amp;TEXT(ABS(J36-I36),"[h]""h"" mm""m""")</f>
        <v/>
      </c>
    </row>
    <row r="37">
      <c r="A37" s="16" t="inlineStr">
        <is>
          <t>Wk5  31 Aug–06 Sep</t>
        </is>
      </c>
      <c r="B37" s="16" t="inlineStr">
        <is>
          <t>Yasir birlas</t>
        </is>
      </c>
      <c r="C37" s="16" t="inlineStr">
        <is>
          <t>—</t>
        </is>
      </c>
      <c r="D37" s="17" t="inlineStr">
        <is>
          <t>Onboarding</t>
        </is>
      </c>
      <c r="E37" s="17" t="inlineStr">
        <is>
          <t>Onboarding time for a new team member.</t>
        </is>
      </c>
      <c r="F37" s="16" t="inlineStr">
        <is>
          <t>—</t>
        </is>
      </c>
      <c r="G37" s="18" t="n">
        <v>0</v>
      </c>
      <c r="H37" s="18" t="n">
        <v>0</v>
      </c>
      <c r="I37" s="18">
        <f>G37+H37</f>
        <v/>
      </c>
      <c r="J37" s="18" t="n">
        <v>0.1458333333333333</v>
      </c>
      <c r="K37" s="19">
        <f>IF(J37&gt;=I37,"+","-")&amp;TEXT(ABS(J37-I37),"[h]""h"" mm""m""")</f>
        <v/>
      </c>
    </row>
    <row r="38">
      <c r="A38" s="16" t="inlineStr">
        <is>
          <t>Wk6  07 Sep–13 Sep</t>
        </is>
      </c>
      <c r="B38" s="16" t="inlineStr">
        <is>
          <t>Abbas Khan</t>
        </is>
      </c>
      <c r="C38" s="16" t="inlineStr">
        <is>
          <t>—</t>
        </is>
      </c>
      <c r="D38" s="17" t="inlineStr">
        <is>
          <t>Learning</t>
        </is>
      </c>
      <c r="E38" s="17" t="inlineStr">
        <is>
          <t>General training and upskilling time.</t>
        </is>
      </c>
      <c r="F38" s="16" t="inlineStr">
        <is>
          <t>—</t>
        </is>
      </c>
      <c r="G38" s="18" t="n">
        <v>0</v>
      </c>
      <c r="H38" s="18" t="n">
        <v>0</v>
      </c>
      <c r="I38" s="18">
        <f>G38+H38</f>
        <v/>
      </c>
      <c r="J38" s="18" t="n">
        <v>0.08333333333333333</v>
      </c>
      <c r="K38" s="19">
        <f>IF(J38&gt;=I38,"+","-")&amp;TEXT(ABS(J38-I38),"[h]""h"" mm""m""")</f>
        <v/>
      </c>
    </row>
    <row r="39">
      <c r="A39" s="16" t="inlineStr">
        <is>
          <t>Wk6  07 Sep–13 Sep</t>
        </is>
      </c>
      <c r="B39" s="16" t="inlineStr">
        <is>
          <t>Muhammad Yahya</t>
        </is>
      </c>
      <c r="C39" s="16" t="inlineStr">
        <is>
          <t>—</t>
        </is>
      </c>
      <c r="D39" s="17" t="inlineStr">
        <is>
          <t>Learning</t>
        </is>
      </c>
      <c r="E39" s="17" t="inlineStr">
        <is>
          <t>General training and upskilling time.</t>
        </is>
      </c>
      <c r="F39" s="16" t="inlineStr">
        <is>
          <t>—</t>
        </is>
      </c>
      <c r="G39" s="18" t="n">
        <v>0</v>
      </c>
      <c r="H39" s="18" t="n">
        <v>0</v>
      </c>
      <c r="I39" s="18">
        <f>G39+H39</f>
        <v/>
      </c>
      <c r="J39" s="18" t="n">
        <v>0.3791666666666667</v>
      </c>
      <c r="K39" s="19">
        <f>IF(J39&gt;=I39,"+","-")&amp;TEXT(ABS(J39-I39),"[h]""h"" mm""m""")</f>
        <v/>
      </c>
    </row>
    <row r="40">
      <c r="A40" s="16" t="inlineStr">
        <is>
          <t>Wk7  14 Sep–20 Sep</t>
        </is>
      </c>
      <c r="B40" s="16" t="inlineStr">
        <is>
          <t>Muhammad Yahya</t>
        </is>
      </c>
      <c r="C40" s="16" t="inlineStr">
        <is>
          <t>—</t>
        </is>
      </c>
      <c r="D40" s="17" t="inlineStr">
        <is>
          <t>Learning</t>
        </is>
      </c>
      <c r="E40" s="17" t="inlineStr">
        <is>
          <t>General training and upskilling time.</t>
        </is>
      </c>
      <c r="F40" s="16" t="inlineStr">
        <is>
          <t>—</t>
        </is>
      </c>
      <c r="G40" s="18" t="n">
        <v>0</v>
      </c>
      <c r="H40" s="18" t="n">
        <v>0</v>
      </c>
      <c r="I40" s="18">
        <f>G40+H40</f>
        <v/>
      </c>
      <c r="J40" s="18" t="n">
        <v>0.07152777777777777</v>
      </c>
      <c r="K40" s="19">
        <f>IF(J40&gt;=I40,"+","-")&amp;TEXT(ABS(J40-I40),"[h]""h"" mm""m""")</f>
        <v/>
      </c>
    </row>
    <row r="41">
      <c r="A41" s="16" t="inlineStr">
        <is>
          <t>Wk7  14 Sep–20 Sep</t>
        </is>
      </c>
      <c r="B41" s="16" t="inlineStr">
        <is>
          <t>Yasir birlas</t>
        </is>
      </c>
      <c r="C41" s="16" t="inlineStr">
        <is>
          <t>—</t>
        </is>
      </c>
      <c r="D41" s="17" t="inlineStr">
        <is>
          <t>Starr Luxury Jets</t>
        </is>
      </c>
      <c r="E41" s="17" t="inlineStr">
        <is>
          <t>General ongoing work for Starr Luxury Jets.</t>
        </is>
      </c>
      <c r="F41" s="16" t="inlineStr">
        <is>
          <t>—</t>
        </is>
      </c>
      <c r="G41" s="18" t="n">
        <v>0</v>
      </c>
      <c r="H41" s="18" t="n">
        <v>0</v>
      </c>
      <c r="I41" s="18">
        <f>G41+H41</f>
        <v/>
      </c>
      <c r="J41" s="18" t="n">
        <v>0.5138888888888888</v>
      </c>
      <c r="K41" s="19">
        <f>IF(J41&gt;=I41,"+","-")&amp;TEXT(ABS(J41-I41),"[h]""h"" mm""m""")</f>
        <v/>
      </c>
    </row>
    <row r="42">
      <c r="A42" s="20" t="n"/>
      <c r="B42" s="20" t="n"/>
      <c r="C42" s="20" t="n"/>
      <c r="D42" s="20" t="inlineStr">
        <is>
          <t>TOTAL</t>
        </is>
      </c>
      <c r="E42" s="20" t="n"/>
      <c r="F42" s="20" t="n"/>
      <c r="G42" s="21">
        <f>SUM(G4:G41)</f>
        <v/>
      </c>
      <c r="H42" s="21">
        <f>SUM(H4:H41)</f>
        <v/>
      </c>
      <c r="I42" s="21">
        <f>SUM(I4:I41)</f>
        <v/>
      </c>
      <c r="J42" s="21">
        <f>SUM(J4:J41)</f>
        <v/>
      </c>
      <c r="K42" s="22">
        <f>IF(J42&gt;=I42,"+","-")&amp;TEXT(ABS(J42-I42),"[h]""h"" mm""m""")</f>
        <v/>
      </c>
    </row>
  </sheetData>
  <autoFilter ref="A3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2026-09-17T12:24:35Z</dcterms:created>
  <dcterms:modified xsi:type="dcterms:W3CDTF">2026-09-17T12:24:35Z</dcterms:modified>
</cp:coreProperties>
</file>